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azurecmpc.sharepoint.com/sites/PMOEngenharia/Documentos de Estudo/02 - Contratos Fixos/Contrato de Engenharia/02 - Documentos de Apoio/"/>
    </mc:Choice>
  </mc:AlternateContent>
  <xr:revisionPtr revIDLastSave="3" documentId="13_ncr:1_{DA70EC1E-21FE-40D4-876B-6FD29CB4B409}" xr6:coauthVersionLast="47" xr6:coauthVersionMax="47" xr10:uidLastSave="{AB6A7172-A113-4F14-8737-4591C3F319B4}"/>
  <bookViews>
    <workbookView xWindow="-120" yWindow="-120" windowWidth="29040" windowHeight="15720" xr2:uid="{00000000-000D-0000-FFFF-FFFF00000000}"/>
  </bookViews>
  <sheets>
    <sheet name="PADRÃO BM" sheetId="1" r:id="rId1"/>
  </sheets>
  <definedNames>
    <definedName name="_xlnm._FilterDatabase" localSheetId="0" hidden="1">'PADRÃO BM'!$B$6:$S$24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2" i="1" l="1"/>
  <c r="L12" i="1"/>
  <c r="N12" i="1"/>
  <c r="K10" i="1"/>
  <c r="M10" i="1"/>
  <c r="O10" i="1"/>
  <c r="P10" i="1"/>
  <c r="R10" i="1" s="1"/>
  <c r="P9" i="1"/>
  <c r="R9" i="1" s="1"/>
  <c r="O9" i="1"/>
  <c r="M9" i="1"/>
  <c r="K9" i="1"/>
  <c r="P12" i="1" l="1"/>
  <c r="P18" i="1" s="1"/>
  <c r="R12" i="1"/>
  <c r="K12" i="1"/>
  <c r="M12" i="1"/>
  <c r="O12" i="1"/>
  <c r="Q10" i="1"/>
  <c r="S10" i="1" s="1"/>
  <c r="Q9" i="1"/>
  <c r="S9" i="1" l="1"/>
  <c r="S12" i="1" s="1"/>
  <c r="Q12" i="1"/>
  <c r="M13" i="1" l="1"/>
  <c r="K13" i="1" l="1"/>
  <c r="O13" i="1" l="1"/>
  <c r="E18" i="1"/>
  <c r="R18" i="1"/>
  <c r="Q13" i="1" l="1"/>
  <c r="J20" i="1" s="1"/>
  <c r="J19" i="1"/>
  <c r="E14" i="1"/>
  <c r="S13" i="1"/>
  <c r="E19" i="1" l="1"/>
  <c r="E20" i="1" s="1"/>
  <c r="J18" i="1"/>
</calcChain>
</file>

<file path=xl/sharedStrings.xml><?xml version="1.0" encoding="utf-8"?>
<sst xmlns="http://schemas.openxmlformats.org/spreadsheetml/2006/main" count="89" uniqueCount="80">
  <si>
    <t>Período:</t>
  </si>
  <si>
    <t>Data:</t>
  </si>
  <si>
    <t>DESCRIÇÃO DO SERVIÇO</t>
  </si>
  <si>
    <t>CONTRATADO NA OS - ORDEM DE SERVIÇO</t>
  </si>
  <si>
    <t>MEDIÇÃO DO PERÍODO</t>
  </si>
  <si>
    <t>ACUMULADO TOTAL</t>
  </si>
  <si>
    <t>SALDO</t>
  </si>
  <si>
    <t>Valor Unitário</t>
  </si>
  <si>
    <t>Quantitativo</t>
  </si>
  <si>
    <t>Valor Contratado</t>
  </si>
  <si>
    <t>Valor</t>
  </si>
  <si>
    <t xml:space="preserve">Unidade </t>
  </si>
  <si>
    <t>Descrição contrato</t>
  </si>
  <si>
    <t>Nº Contratada</t>
  </si>
  <si>
    <t>ACUMULADO ANTERIOR</t>
  </si>
  <si>
    <t>Valor Cobrado Nesta Medição</t>
  </si>
  <si>
    <t>Subtotal - HH</t>
  </si>
  <si>
    <t>Dados Contratuais</t>
  </si>
  <si>
    <t>VALORES CONTRATUAIS</t>
  </si>
  <si>
    <t>Avanço do projeto (%)</t>
  </si>
  <si>
    <t>Prazo de Prestações dos Serviços</t>
  </si>
  <si>
    <t>VALOR CONTRATUAL (R$):</t>
  </si>
  <si>
    <t>% de Avanço Anterior</t>
  </si>
  <si>
    <t>VALOR ACUMULADO (R$):</t>
  </si>
  <si>
    <t>% de Avanço do mês</t>
  </si>
  <si>
    <t>SALDO CONTRATUAL (R$):</t>
  </si>
  <si>
    <t>% Avanço Total do Projeto</t>
  </si>
  <si>
    <t xml:space="preserve">Acompanhamento por Medição </t>
  </si>
  <si>
    <t>MED 01</t>
  </si>
  <si>
    <t>MED 04</t>
  </si>
  <si>
    <t>MED 07</t>
  </si>
  <si>
    <t>MED 10</t>
  </si>
  <si>
    <t>MED 13</t>
  </si>
  <si>
    <t>MED 16</t>
  </si>
  <si>
    <t>MED 19</t>
  </si>
  <si>
    <t>MED 02</t>
  </si>
  <si>
    <t>MED 05</t>
  </si>
  <si>
    <t>MED 08</t>
  </si>
  <si>
    <t>MED 11</t>
  </si>
  <si>
    <t>MED 14</t>
  </si>
  <si>
    <t>MED 17</t>
  </si>
  <si>
    <t>MED 20</t>
  </si>
  <si>
    <t>MED 03</t>
  </si>
  <si>
    <t>MED 06</t>
  </si>
  <si>
    <t>MED 09</t>
  </si>
  <si>
    <t>MED 12</t>
  </si>
  <si>
    <t>MED 15</t>
  </si>
  <si>
    <t>MED 18</t>
  </si>
  <si>
    <t>MED 21</t>
  </si>
  <si>
    <t xml:space="preserve">APROVAÇÕES </t>
  </si>
  <si>
    <t>Gestor Contratada</t>
  </si>
  <si>
    <t xml:space="preserve">Assinatura e Data </t>
  </si>
  <si>
    <t>Data Inicial da OS:</t>
  </si>
  <si>
    <t>Data de Encerramento da OS:</t>
  </si>
  <si>
    <t>Total de Dias corridos:</t>
  </si>
  <si>
    <t>MED 22</t>
  </si>
  <si>
    <t>MED 23</t>
  </si>
  <si>
    <t>MED 24</t>
  </si>
  <si>
    <t>Avanço Financeiro da OS</t>
  </si>
  <si>
    <t>Avanço Físico da OS</t>
  </si>
  <si>
    <t>HH</t>
  </si>
  <si>
    <t>CONTRATADA Engenharia Ltda</t>
  </si>
  <si>
    <t>Boletim de Medição</t>
  </si>
  <si>
    <t>Item da QQP</t>
  </si>
  <si>
    <t>Descrição do serviço</t>
  </si>
  <si>
    <t>PU</t>
  </si>
  <si>
    <t>1.1</t>
  </si>
  <si>
    <t>Hh</t>
  </si>
  <si>
    <r>
      <rPr>
        <b/>
        <sz val="18"/>
        <rFont val="Arial"/>
        <family val="2"/>
      </rPr>
      <t>CMPC - Guaíba</t>
    </r>
    <r>
      <rPr>
        <sz val="18"/>
        <rFont val="Arial"/>
        <family val="2"/>
      </rPr>
      <t xml:space="preserve">
BOLETIM DE MEDIÇÃO DOS SERVIÇOS</t>
    </r>
  </si>
  <si>
    <t>MECÂNICA - HH</t>
  </si>
  <si>
    <t xml:space="preserve">R$ Total Contratado na Ordem de Serviço </t>
  </si>
  <si>
    <t>XXXXXXX</t>
  </si>
  <si>
    <t>Nº CONTRATO CMPC</t>
  </si>
  <si>
    <t>01/01/202X à 20/01/202X</t>
  </si>
  <si>
    <t>20/01/202X</t>
  </si>
  <si>
    <t>CMPC</t>
  </si>
  <si>
    <t>Coordenador da CMPC</t>
  </si>
  <si>
    <t>Nº CMPC</t>
  </si>
  <si>
    <t>OS_XXXX - NOME DA OS</t>
  </si>
  <si>
    <t>Revisão CMPC.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</si>
</sst>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_(* #,##0.00_);_(* \(#,##0.00\);_(* &quot;-&quot;??_);_(@_)"/>
    <numFmt numFmtId="165" formatCode="&quot;R$&quot;\ #,##0.00"/>
    <numFmt numFmtId="166" formatCode="_(&quot;R$ &quot;* #,##0.00_);_(&quot;R$ &quot;* \(#,##0.00\);_(&quot;R$ &quot;* &quot;-&quot;??_);_(@_)"/>
    <numFmt numFmtId="167" formatCode="&quot;R$ &quot;#,##0.00"/>
  </numFmts>
  <fonts count="30" x14ac:knownFonts="1">
    <font>
      <sz val="11"/>
      <color theme="1"/>
      <name val="Calibri"/>
      <family val="2"/>
      <scheme val="minor"/>
    </font>
    <font>
      <sz val="12"/>
      <name val="Helv"/>
    </font>
    <font>
      <sz val="1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sz val="10"/>
      <color theme="1"/>
      <name val="Verdana"/>
      <family val="2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b/>
      <sz val="16"/>
      <name val="Arial"/>
      <family val="2"/>
    </font>
    <font>
      <b/>
      <sz val="8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sz val="11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12"/>
      <name val="Calibri"/>
      <family val="2"/>
      <scheme val="minor"/>
    </font>
    <font>
      <b/>
      <sz val="8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b/>
      <sz val="14"/>
      <name val="Calibri"/>
      <family val="2"/>
      <scheme val="minor"/>
    </font>
    <font>
      <b/>
      <i/>
      <sz val="12"/>
      <name val="Arial"/>
      <family val="2"/>
    </font>
    <font>
      <sz val="14"/>
      <name val="Calibri"/>
      <family val="2"/>
      <scheme val="minor"/>
    </font>
    <font>
      <sz val="12"/>
      <name val="Arial"/>
      <family val="2"/>
    </font>
    <font>
      <b/>
      <sz val="9"/>
      <name val="Arial"/>
      <family val="2"/>
    </font>
    <font>
      <b/>
      <sz val="11"/>
      <color rgb="FFFF0000"/>
      <name val="Arial"/>
      <family val="2"/>
    </font>
    <font>
      <sz val="8"/>
      <name val="Calibri"/>
      <family val="2"/>
      <scheme val="minor"/>
    </font>
    <font>
      <sz val="10"/>
      <name val="Arial"/>
      <family val="2"/>
    </font>
    <font>
      <sz val="10"/>
      <color rgb="FF000000"/>
      <name val="Times New Roman"/>
      <family val="1"/>
    </font>
    <font>
      <i/>
      <sz val="12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2" tint="-9.9978637043366805E-2"/>
        <bgColor indexed="64"/>
      </patternFill>
    </fill>
  </fills>
  <borders count="8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15">
    <xf numFmtId="0" fontId="0" fillId="0" borderId="0"/>
    <xf numFmtId="39" fontId="1" fillId="0" borderId="0"/>
    <xf numFmtId="0" fontId="5" fillId="0" borderId="0"/>
    <xf numFmtId="164" fontId="7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7" fillId="2" borderId="0"/>
    <xf numFmtId="9" fontId="13" fillId="0" borderId="0" applyFont="0" applyFill="0" applyBorder="0" applyAlignment="0" applyProtection="0"/>
    <xf numFmtId="164" fontId="7" fillId="0" borderId="0" applyFont="0" applyFill="0" applyBorder="0" applyAlignment="0" applyProtection="0"/>
    <xf numFmtId="0" fontId="13" fillId="0" borderId="0"/>
    <xf numFmtId="0" fontId="27" fillId="0" borderId="0"/>
    <xf numFmtId="0" fontId="7" fillId="0" borderId="0"/>
    <xf numFmtId="0" fontId="28" fillId="0" borderId="0"/>
    <xf numFmtId="9" fontId="7" fillId="0" borderId="0" applyFont="0" applyFill="0" applyBorder="0" applyAlignment="0" applyProtection="0"/>
    <xf numFmtId="0" fontId="13" fillId="0" borderId="0"/>
    <xf numFmtId="44" fontId="13" fillId="0" borderId="0" applyFont="0" applyFill="0" applyBorder="0" applyAlignment="0" applyProtection="0"/>
  </cellStyleXfs>
  <cellXfs count="191">
    <xf numFmtId="0" fontId="0" fillId="0" borderId="0" xfId="0"/>
    <xf numFmtId="39" fontId="10" fillId="0" borderId="5" xfId="1" applyFont="1" applyBorder="1" applyAlignment="1">
      <alignment horizontal="center" vertical="center" wrapText="1"/>
    </xf>
    <xf numFmtId="39" fontId="10" fillId="0" borderId="6" xfId="1" applyFont="1" applyBorder="1" applyAlignment="1">
      <alignment horizontal="center" vertical="center" wrapText="1"/>
    </xf>
    <xf numFmtId="39" fontId="10" fillId="0" borderId="7" xfId="1" applyFont="1" applyBorder="1" applyAlignment="1">
      <alignment horizontal="center" vertical="center" wrapText="1"/>
    </xf>
    <xf numFmtId="10" fontId="10" fillId="3" borderId="5" xfId="3" applyNumberFormat="1" applyFont="1" applyFill="1" applyBorder="1" applyAlignment="1">
      <alignment horizontal="center" vertical="center"/>
    </xf>
    <xf numFmtId="39" fontId="10" fillId="3" borderId="7" xfId="1" applyFont="1" applyFill="1" applyBorder="1" applyAlignment="1">
      <alignment horizontal="center" vertical="center"/>
    </xf>
    <xf numFmtId="0" fontId="11" fillId="4" borderId="8" xfId="2" applyFont="1" applyFill="1" applyBorder="1" applyAlignment="1">
      <alignment horizontal="left" vertical="center"/>
    </xf>
    <xf numFmtId="165" fontId="11" fillId="4" borderId="9" xfId="1" applyNumberFormat="1" applyFont="1" applyFill="1" applyBorder="1" applyAlignment="1">
      <alignment horizontal="center" vertical="center" wrapText="1"/>
    </xf>
    <xf numFmtId="39" fontId="11" fillId="4" borderId="10" xfId="1" applyFont="1" applyFill="1" applyBorder="1" applyAlignment="1">
      <alignment horizontal="center" vertical="center" wrapText="1"/>
    </xf>
    <xf numFmtId="165" fontId="11" fillId="4" borderId="11" xfId="4" applyNumberFormat="1" applyFont="1" applyFill="1" applyBorder="1" applyAlignment="1" applyProtection="1">
      <alignment horizontal="center" vertical="center" wrapText="1"/>
    </xf>
    <xf numFmtId="2" fontId="11" fillId="4" borderId="12" xfId="2" applyNumberFormat="1" applyFont="1" applyFill="1" applyBorder="1" applyAlignment="1">
      <alignment horizontal="center" vertical="center"/>
    </xf>
    <xf numFmtId="165" fontId="11" fillId="4" borderId="11" xfId="1" applyNumberFormat="1" applyFont="1" applyFill="1" applyBorder="1" applyAlignment="1">
      <alignment horizontal="center" vertical="center"/>
    </xf>
    <xf numFmtId="2" fontId="11" fillId="4" borderId="12" xfId="3" applyNumberFormat="1" applyFont="1" applyFill="1" applyBorder="1" applyAlignment="1">
      <alignment horizontal="center" vertical="center"/>
    </xf>
    <xf numFmtId="0" fontId="12" fillId="0" borderId="14" xfId="2" applyFont="1" applyBorder="1" applyAlignment="1">
      <alignment vertical="center" wrapText="1"/>
    </xf>
    <xf numFmtId="0" fontId="12" fillId="0" borderId="15" xfId="2" applyFont="1" applyBorder="1" applyAlignment="1">
      <alignment horizontal="center" vertical="center" wrapText="1"/>
    </xf>
    <xf numFmtId="2" fontId="12" fillId="0" borderId="13" xfId="2" applyNumberFormat="1" applyFont="1" applyBorder="1" applyAlignment="1">
      <alignment horizontal="center" vertical="center"/>
    </xf>
    <xf numFmtId="165" fontId="12" fillId="0" borderId="15" xfId="1" applyNumberFormat="1" applyFont="1" applyBorder="1" applyAlignment="1">
      <alignment horizontal="center" vertical="center"/>
    </xf>
    <xf numFmtId="2" fontId="10" fillId="3" borderId="13" xfId="3" applyNumberFormat="1" applyFont="1" applyFill="1" applyBorder="1" applyAlignment="1">
      <alignment horizontal="center" vertical="center"/>
    </xf>
    <xf numFmtId="165" fontId="10" fillId="3" borderId="15" xfId="1" applyNumberFormat="1" applyFont="1" applyFill="1" applyBorder="1" applyAlignment="1">
      <alignment horizontal="center" vertical="center"/>
    </xf>
    <xf numFmtId="39" fontId="10" fillId="0" borderId="18" xfId="1" applyFont="1" applyBorder="1" applyAlignment="1">
      <alignment horizontal="center" vertical="center" wrapText="1"/>
    </xf>
    <xf numFmtId="165" fontId="10" fillId="0" borderId="13" xfId="1" applyNumberFormat="1" applyFont="1" applyBorder="1" applyAlignment="1">
      <alignment horizontal="center" vertical="center" wrapText="1"/>
    </xf>
    <xf numFmtId="39" fontId="10" fillId="0" borderId="14" xfId="1" applyFont="1" applyBorder="1" applyAlignment="1">
      <alignment horizontal="center" vertical="center" wrapText="1"/>
    </xf>
    <xf numFmtId="165" fontId="10" fillId="0" borderId="15" xfId="4" applyNumberFormat="1" applyFont="1" applyBorder="1" applyAlignment="1" applyProtection="1">
      <alignment horizontal="center" vertical="center" wrapText="1"/>
    </xf>
    <xf numFmtId="164" fontId="18" fillId="5" borderId="12" xfId="2" applyNumberFormat="1" applyFont="1" applyFill="1" applyBorder="1" applyAlignment="1">
      <alignment horizontal="center" vertical="center" wrapText="1"/>
    </xf>
    <xf numFmtId="166" fontId="16" fillId="2" borderId="11" xfId="3" applyNumberFormat="1" applyFont="1" applyFill="1" applyBorder="1" applyAlignment="1">
      <alignment horizontal="center" vertical="center" wrapText="1"/>
    </xf>
    <xf numFmtId="164" fontId="18" fillId="5" borderId="16" xfId="2" applyNumberFormat="1" applyFont="1" applyFill="1" applyBorder="1" applyAlignment="1">
      <alignment horizontal="center" vertical="center" wrapText="1"/>
    </xf>
    <xf numFmtId="166" fontId="16" fillId="2" borderId="17" xfId="3" applyNumberFormat="1" applyFont="1" applyFill="1" applyBorder="1" applyAlignment="1">
      <alignment horizontal="center" vertical="center" wrapText="1"/>
    </xf>
    <xf numFmtId="164" fontId="18" fillId="5" borderId="34" xfId="2" applyNumberFormat="1" applyFont="1" applyFill="1" applyBorder="1" applyAlignment="1">
      <alignment horizontal="center" vertical="center" wrapText="1"/>
    </xf>
    <xf numFmtId="166" fontId="16" fillId="2" borderId="35" xfId="3" applyNumberFormat="1" applyFont="1" applyFill="1" applyBorder="1" applyAlignment="1">
      <alignment horizontal="center" vertical="center" wrapText="1"/>
    </xf>
    <xf numFmtId="164" fontId="18" fillId="5" borderId="48" xfId="2" applyNumberFormat="1" applyFont="1" applyFill="1" applyBorder="1" applyAlignment="1">
      <alignment horizontal="center" vertical="center" wrapText="1"/>
    </xf>
    <xf numFmtId="49" fontId="6" fillId="0" borderId="52" xfId="2" applyNumberFormat="1" applyFont="1" applyBorder="1" applyAlignment="1">
      <alignment horizontal="right" vertical="center" wrapText="1"/>
    </xf>
    <xf numFmtId="39" fontId="10" fillId="0" borderId="60" xfId="1" applyFont="1" applyBorder="1" applyAlignment="1">
      <alignment horizontal="center" vertical="center" wrapText="1"/>
    </xf>
    <xf numFmtId="39" fontId="10" fillId="0" borderId="61" xfId="1" applyFont="1" applyBorder="1" applyAlignment="1">
      <alignment horizontal="center" vertical="center" wrapText="1"/>
    </xf>
    <xf numFmtId="0" fontId="8" fillId="4" borderId="62" xfId="2" applyFont="1" applyFill="1" applyBorder="1" applyAlignment="1">
      <alignment horizontal="left" vertical="center"/>
    </xf>
    <xf numFmtId="165" fontId="11" fillId="4" borderId="63" xfId="1" applyNumberFormat="1" applyFont="1" applyFill="1" applyBorder="1" applyAlignment="1">
      <alignment horizontal="center" vertical="center"/>
    </xf>
    <xf numFmtId="0" fontId="12" fillId="0" borderId="64" xfId="2" applyFont="1" applyBorder="1" applyAlignment="1">
      <alignment horizontal="center" vertical="center"/>
    </xf>
    <xf numFmtId="165" fontId="12" fillId="0" borderId="65" xfId="1" applyNumberFormat="1" applyFont="1" applyBorder="1" applyAlignment="1">
      <alignment horizontal="center" vertical="center"/>
    </xf>
    <xf numFmtId="164" fontId="18" fillId="5" borderId="70" xfId="2" applyNumberFormat="1" applyFont="1" applyFill="1" applyBorder="1" applyAlignment="1">
      <alignment horizontal="center" vertical="center" wrapText="1"/>
    </xf>
    <xf numFmtId="166" fontId="16" fillId="2" borderId="63" xfId="3" applyNumberFormat="1" applyFont="1" applyFill="1" applyBorder="1" applyAlignment="1">
      <alignment horizontal="center" vertical="center" wrapText="1"/>
    </xf>
    <xf numFmtId="164" fontId="18" fillId="5" borderId="66" xfId="2" applyNumberFormat="1" applyFont="1" applyFill="1" applyBorder="1" applyAlignment="1">
      <alignment horizontal="center" vertical="center" wrapText="1"/>
    </xf>
    <xf numFmtId="166" fontId="16" fillId="2" borderId="67" xfId="3" applyNumberFormat="1" applyFont="1" applyFill="1" applyBorder="1" applyAlignment="1">
      <alignment horizontal="center" vertical="center" wrapText="1"/>
    </xf>
    <xf numFmtId="164" fontId="18" fillId="5" borderId="71" xfId="2" applyNumberFormat="1" applyFont="1" applyFill="1" applyBorder="1" applyAlignment="1">
      <alignment horizontal="center" vertical="center" wrapText="1"/>
    </xf>
    <xf numFmtId="166" fontId="16" fillId="2" borderId="72" xfId="3" applyNumberFormat="1" applyFont="1" applyFill="1" applyBorder="1" applyAlignment="1">
      <alignment horizontal="center" vertical="center" wrapText="1"/>
    </xf>
    <xf numFmtId="164" fontId="18" fillId="5" borderId="62" xfId="2" applyNumberFormat="1" applyFont="1" applyFill="1" applyBorder="1" applyAlignment="1">
      <alignment horizontal="center" vertical="center" wrapText="1"/>
    </xf>
    <xf numFmtId="165" fontId="21" fillId="0" borderId="1" xfId="7" applyNumberFormat="1" applyFont="1" applyFill="1" applyBorder="1" applyAlignment="1">
      <alignment horizontal="center" vertical="center"/>
    </xf>
    <xf numFmtId="2" fontId="21" fillId="0" borderId="22" xfId="7" applyNumberFormat="1" applyFont="1" applyFill="1" applyBorder="1" applyAlignment="1">
      <alignment horizontal="center" vertical="center"/>
    </xf>
    <xf numFmtId="165" fontId="21" fillId="0" borderId="2" xfId="7" applyNumberFormat="1" applyFont="1" applyFill="1" applyBorder="1" applyAlignment="1">
      <alignment horizontal="center" vertical="center"/>
    </xf>
    <xf numFmtId="165" fontId="21" fillId="0" borderId="3" xfId="7" applyNumberFormat="1" applyFont="1" applyFill="1" applyBorder="1" applyAlignment="1">
      <alignment horizontal="center" vertical="center"/>
    </xf>
    <xf numFmtId="2" fontId="21" fillId="0" borderId="2" xfId="7" applyNumberFormat="1" applyFont="1" applyFill="1" applyBorder="1" applyAlignment="1">
      <alignment horizontal="center" vertical="center"/>
    </xf>
    <xf numFmtId="2" fontId="21" fillId="0" borderId="3" xfId="7" applyNumberFormat="1" applyFont="1" applyFill="1" applyBorder="1" applyAlignment="1">
      <alignment horizontal="center" vertical="center"/>
    </xf>
    <xf numFmtId="165" fontId="11" fillId="6" borderId="7" xfId="7" applyNumberFormat="1" applyFont="1" applyFill="1" applyBorder="1" applyAlignment="1">
      <alignment horizontal="center" vertical="center"/>
    </xf>
    <xf numFmtId="0" fontId="11" fillId="2" borderId="2" xfId="2" applyFont="1" applyFill="1" applyBorder="1" applyAlignment="1">
      <alignment horizontal="right" vertical="center"/>
    </xf>
    <xf numFmtId="49" fontId="23" fillId="0" borderId="3" xfId="2" applyNumberFormat="1" applyFont="1" applyBorder="1" applyAlignment="1">
      <alignment vertical="center" wrapText="1"/>
    </xf>
    <xf numFmtId="49" fontId="24" fillId="0" borderId="55" xfId="2" applyNumberFormat="1" applyFont="1" applyBorder="1" applyAlignment="1">
      <alignment vertical="center" wrapText="1"/>
    </xf>
    <xf numFmtId="0" fontId="15" fillId="5" borderId="3" xfId="2" applyFont="1" applyFill="1" applyBorder="1" applyAlignment="1">
      <alignment horizontal="center" vertical="center" wrapText="1"/>
    </xf>
    <xf numFmtId="0" fontId="15" fillId="5" borderId="37" xfId="2" applyFont="1" applyFill="1" applyBorder="1" applyAlignment="1">
      <alignment vertical="center" wrapText="1"/>
    </xf>
    <xf numFmtId="0" fontId="15" fillId="5" borderId="4" xfId="2" applyFont="1" applyFill="1" applyBorder="1" applyAlignment="1">
      <alignment vertical="center" wrapText="1"/>
    </xf>
    <xf numFmtId="0" fontId="15" fillId="5" borderId="3" xfId="2" applyFont="1" applyFill="1" applyBorder="1" applyAlignment="1">
      <alignment vertical="center" wrapText="1"/>
    </xf>
    <xf numFmtId="0" fontId="11" fillId="0" borderId="19" xfId="2" applyFont="1" applyBorder="1" applyAlignment="1">
      <alignment horizontal="center" vertical="center" wrapText="1"/>
    </xf>
    <xf numFmtId="0" fontId="8" fillId="9" borderId="62" xfId="2" applyFont="1" applyFill="1" applyBorder="1" applyAlignment="1">
      <alignment horizontal="center" vertical="center"/>
    </xf>
    <xf numFmtId="0" fontId="8" fillId="4" borderId="8" xfId="2" applyFont="1" applyFill="1" applyBorder="1" applyAlignment="1">
      <alignment horizontal="left" vertical="center"/>
    </xf>
    <xf numFmtId="0" fontId="12" fillId="0" borderId="19" xfId="2" applyFont="1" applyBorder="1" applyAlignment="1">
      <alignment vertical="center" wrapText="1"/>
    </xf>
    <xf numFmtId="0" fontId="8" fillId="8" borderId="4" xfId="2" applyFont="1" applyFill="1" applyBorder="1" applyAlignment="1">
      <alignment horizontal="right" vertical="center"/>
    </xf>
    <xf numFmtId="0" fontId="16" fillId="0" borderId="8" xfId="2" applyFont="1" applyBorder="1" applyAlignment="1">
      <alignment horizontal="right" vertical="center" wrapText="1"/>
    </xf>
    <xf numFmtId="0" fontId="16" fillId="0" borderId="79" xfId="2" applyFont="1" applyBorder="1" applyAlignment="1">
      <alignment horizontal="right" vertical="center" wrapText="1"/>
    </xf>
    <xf numFmtId="0" fontId="16" fillId="0" borderId="80" xfId="2" applyFont="1" applyBorder="1" applyAlignment="1">
      <alignment horizontal="right" vertical="center" wrapText="1"/>
    </xf>
    <xf numFmtId="166" fontId="16" fillId="2" borderId="8" xfId="3" applyNumberFormat="1" applyFont="1" applyFill="1" applyBorder="1" applyAlignment="1">
      <alignment horizontal="center" vertical="center" wrapText="1"/>
    </xf>
    <xf numFmtId="166" fontId="16" fillId="2" borderId="79" xfId="3" applyNumberFormat="1" applyFont="1" applyFill="1" applyBorder="1" applyAlignment="1">
      <alignment horizontal="center" vertical="center" wrapText="1"/>
    </xf>
    <xf numFmtId="166" fontId="16" fillId="2" borderId="80" xfId="3" applyNumberFormat="1" applyFont="1" applyFill="1" applyBorder="1" applyAlignment="1">
      <alignment horizontal="center" vertical="center" wrapText="1"/>
    </xf>
    <xf numFmtId="2" fontId="10" fillId="0" borderId="13" xfId="3" applyNumberFormat="1" applyFont="1" applyFill="1" applyBorder="1" applyAlignment="1">
      <alignment horizontal="center" vertical="center"/>
    </xf>
    <xf numFmtId="2" fontId="11" fillId="6" borderId="7" xfId="7" applyNumberFormat="1" applyFont="1" applyFill="1" applyBorder="1" applyAlignment="1">
      <alignment horizontal="center" vertical="center"/>
    </xf>
    <xf numFmtId="164" fontId="14" fillId="4" borderId="43" xfId="3" applyFont="1" applyFill="1" applyBorder="1" applyAlignment="1">
      <alignment horizontal="center" wrapText="1"/>
    </xf>
    <xf numFmtId="164" fontId="14" fillId="4" borderId="0" xfId="3" applyFont="1" applyFill="1" applyBorder="1" applyAlignment="1">
      <alignment horizontal="center" wrapText="1"/>
    </xf>
    <xf numFmtId="164" fontId="14" fillId="4" borderId="42" xfId="3" applyFont="1" applyFill="1" applyBorder="1" applyAlignment="1">
      <alignment horizontal="center" wrapText="1"/>
    </xf>
    <xf numFmtId="164" fontId="14" fillId="4" borderId="37" xfId="3" applyFont="1" applyFill="1" applyBorder="1" applyAlignment="1">
      <alignment horizontal="center" wrapText="1"/>
    </xf>
    <xf numFmtId="164" fontId="14" fillId="4" borderId="4" xfId="3" applyFont="1" applyFill="1" applyBorder="1" applyAlignment="1">
      <alignment horizontal="center" wrapText="1"/>
    </xf>
    <xf numFmtId="164" fontId="14" fillId="4" borderId="36" xfId="3" applyFont="1" applyFill="1" applyBorder="1" applyAlignment="1">
      <alignment horizontal="center" wrapText="1"/>
    </xf>
    <xf numFmtId="166" fontId="19" fillId="2" borderId="2" xfId="3" applyNumberFormat="1" applyFont="1" applyFill="1" applyBorder="1" applyAlignment="1">
      <alignment horizontal="center" vertical="center" wrapText="1"/>
    </xf>
    <xf numFmtId="166" fontId="19" fillId="2" borderId="4" xfId="3" applyNumberFormat="1" applyFont="1" applyFill="1" applyBorder="1" applyAlignment="1">
      <alignment horizontal="center" vertical="center" wrapText="1"/>
    </xf>
    <xf numFmtId="166" fontId="19" fillId="2" borderId="36" xfId="3" applyNumberFormat="1" applyFont="1" applyFill="1" applyBorder="1" applyAlignment="1">
      <alignment horizontal="center" vertical="center" wrapText="1"/>
    </xf>
    <xf numFmtId="164" fontId="14" fillId="4" borderId="40" xfId="3" applyFont="1" applyFill="1" applyBorder="1" applyAlignment="1">
      <alignment horizontal="center" wrapText="1"/>
    </xf>
    <xf numFmtId="164" fontId="14" fillId="4" borderId="22" xfId="3" applyFont="1" applyFill="1" applyBorder="1" applyAlignment="1">
      <alignment horizontal="center" wrapText="1"/>
    </xf>
    <xf numFmtId="164" fontId="14" fillId="4" borderId="39" xfId="3" applyFont="1" applyFill="1" applyBorder="1" applyAlignment="1">
      <alignment horizontal="center" wrapText="1"/>
    </xf>
    <xf numFmtId="1" fontId="18" fillId="0" borderId="29" xfId="6" applyNumberFormat="1" applyFont="1" applyFill="1" applyBorder="1" applyAlignment="1">
      <alignment horizontal="center" vertical="center" wrapText="1"/>
    </xf>
    <xf numFmtId="1" fontId="18" fillId="0" borderId="30" xfId="6" applyNumberFormat="1" applyFont="1" applyFill="1" applyBorder="1" applyAlignment="1">
      <alignment horizontal="center" vertical="center" wrapText="1"/>
    </xf>
    <xf numFmtId="0" fontId="16" fillId="0" borderId="69" xfId="2" applyFont="1" applyBorder="1" applyAlignment="1">
      <alignment horizontal="right" vertical="center" wrapText="1"/>
    </xf>
    <xf numFmtId="0" fontId="16" fillId="0" borderId="31" xfId="2" applyFont="1" applyBorder="1" applyAlignment="1">
      <alignment horizontal="right" vertical="center" wrapText="1"/>
    </xf>
    <xf numFmtId="165" fontId="17" fillId="0" borderId="32" xfId="3" applyNumberFormat="1" applyFont="1" applyFill="1" applyBorder="1" applyAlignment="1">
      <alignment horizontal="center" vertical="center" wrapText="1"/>
    </xf>
    <xf numFmtId="165" fontId="17" fillId="0" borderId="80" xfId="3" applyNumberFormat="1" applyFont="1" applyFill="1" applyBorder="1" applyAlignment="1">
      <alignment horizontal="center" vertical="center" wrapText="1"/>
    </xf>
    <xf numFmtId="165" fontId="17" fillId="0" borderId="33" xfId="3" applyNumberFormat="1" applyFont="1" applyFill="1" applyBorder="1" applyAlignment="1">
      <alignment horizontal="center" vertical="center" wrapText="1"/>
    </xf>
    <xf numFmtId="9" fontId="22" fillId="0" borderId="38" xfId="6" applyFont="1" applyFill="1" applyBorder="1" applyAlignment="1">
      <alignment horizontal="center" vertical="center" wrapText="1"/>
    </xf>
    <xf numFmtId="9" fontId="22" fillId="0" borderId="76" xfId="6" applyFont="1" applyFill="1" applyBorder="1" applyAlignment="1">
      <alignment horizontal="center" vertical="center" wrapText="1"/>
    </xf>
    <xf numFmtId="9" fontId="22" fillId="0" borderId="41" xfId="6" applyFont="1" applyFill="1" applyBorder="1" applyAlignment="1">
      <alignment horizontal="center" vertical="center" wrapText="1"/>
    </xf>
    <xf numFmtId="9" fontId="22" fillId="0" borderId="77" xfId="6" applyFont="1" applyFill="1" applyBorder="1" applyAlignment="1">
      <alignment horizontal="center" vertical="center" wrapText="1"/>
    </xf>
    <xf numFmtId="9" fontId="22" fillId="0" borderId="44" xfId="6" applyFont="1" applyFill="1" applyBorder="1" applyAlignment="1">
      <alignment horizontal="center" vertical="center" wrapText="1"/>
    </xf>
    <xf numFmtId="9" fontId="22" fillId="0" borderId="78" xfId="6" applyFont="1" applyFill="1" applyBorder="1" applyAlignment="1">
      <alignment horizontal="center" vertical="center" wrapText="1"/>
    </xf>
    <xf numFmtId="9" fontId="22" fillId="0" borderId="22" xfId="6" applyFont="1" applyFill="1" applyBorder="1" applyAlignment="1">
      <alignment horizontal="center" vertical="center" wrapText="1"/>
    </xf>
    <xf numFmtId="9" fontId="22" fillId="0" borderId="39" xfId="6" applyFont="1" applyFill="1" applyBorder="1" applyAlignment="1">
      <alignment horizontal="center" vertical="center" wrapText="1"/>
    </xf>
    <xf numFmtId="9" fontId="22" fillId="0" borderId="0" xfId="6" applyFont="1" applyFill="1" applyBorder="1" applyAlignment="1">
      <alignment horizontal="center" vertical="center" wrapText="1"/>
    </xf>
    <xf numFmtId="9" fontId="22" fillId="0" borderId="42" xfId="6" applyFont="1" applyFill="1" applyBorder="1" applyAlignment="1">
      <alignment horizontal="center" vertical="center" wrapText="1"/>
    </xf>
    <xf numFmtId="9" fontId="22" fillId="0" borderId="45" xfId="6" applyFont="1" applyFill="1" applyBorder="1" applyAlignment="1">
      <alignment horizontal="center" vertical="center" wrapText="1"/>
    </xf>
    <xf numFmtId="9" fontId="22" fillId="0" borderId="46" xfId="6" applyFont="1" applyFill="1" applyBorder="1" applyAlignment="1">
      <alignment horizontal="center" vertical="center" wrapText="1"/>
    </xf>
    <xf numFmtId="0" fontId="16" fillId="0" borderId="27" xfId="2" applyFont="1" applyBorder="1" applyAlignment="1">
      <alignment horizontal="left" vertical="center" wrapText="1"/>
    </xf>
    <xf numFmtId="0" fontId="16" fillId="0" borderId="28" xfId="2" applyFont="1" applyBorder="1" applyAlignment="1">
      <alignment horizontal="left" vertical="center" wrapText="1"/>
    </xf>
    <xf numFmtId="10" fontId="18" fillId="0" borderId="29" xfId="6" applyNumberFormat="1" applyFont="1" applyFill="1" applyBorder="1" applyAlignment="1">
      <alignment horizontal="center" vertical="center" wrapText="1"/>
    </xf>
    <xf numFmtId="10" fontId="18" fillId="0" borderId="30" xfId="6" applyNumberFormat="1" applyFont="1" applyFill="1" applyBorder="1" applyAlignment="1">
      <alignment horizontal="center" vertical="center" wrapText="1"/>
    </xf>
    <xf numFmtId="165" fontId="17" fillId="0" borderId="29" xfId="3" applyNumberFormat="1" applyFont="1" applyFill="1" applyBorder="1" applyAlignment="1">
      <alignment horizontal="center" vertical="center" wrapText="1"/>
    </xf>
    <xf numFmtId="165" fontId="17" fillId="0" borderId="79" xfId="3" applyNumberFormat="1" applyFont="1" applyFill="1" applyBorder="1" applyAlignment="1">
      <alignment horizontal="center" vertical="center" wrapText="1"/>
    </xf>
    <xf numFmtId="165" fontId="17" fillId="0" borderId="30" xfId="3" applyNumberFormat="1" applyFont="1" applyFill="1" applyBorder="1" applyAlignment="1">
      <alignment horizontal="center" vertical="center" wrapText="1"/>
    </xf>
    <xf numFmtId="166" fontId="16" fillId="2" borderId="23" xfId="3" applyNumberFormat="1" applyFont="1" applyFill="1" applyBorder="1" applyAlignment="1">
      <alignment horizontal="center" vertical="center" wrapText="1"/>
    </xf>
    <xf numFmtId="166" fontId="16" fillId="2" borderId="24" xfId="3" applyNumberFormat="1" applyFont="1" applyFill="1" applyBorder="1" applyAlignment="1">
      <alignment horizontal="center" vertical="center" wrapText="1"/>
    </xf>
    <xf numFmtId="166" fontId="16" fillId="2" borderId="29" xfId="3" applyNumberFormat="1" applyFont="1" applyFill="1" applyBorder="1" applyAlignment="1">
      <alignment horizontal="center" vertical="center" wrapText="1"/>
    </xf>
    <xf numFmtId="166" fontId="16" fillId="2" borderId="30" xfId="3" applyNumberFormat="1" applyFont="1" applyFill="1" applyBorder="1" applyAlignment="1">
      <alignment horizontal="center" vertical="center" wrapText="1"/>
    </xf>
    <xf numFmtId="167" fontId="19" fillId="5" borderId="73" xfId="2" applyNumberFormat="1" applyFont="1" applyFill="1" applyBorder="1" applyAlignment="1">
      <alignment horizontal="center" vertical="center" wrapText="1"/>
    </xf>
    <xf numFmtId="167" fontId="19" fillId="5" borderId="74" xfId="2" applyNumberFormat="1" applyFont="1" applyFill="1" applyBorder="1" applyAlignment="1">
      <alignment horizontal="center" vertical="center" wrapText="1"/>
    </xf>
    <xf numFmtId="167" fontId="19" fillId="5" borderId="75" xfId="2" applyNumberFormat="1" applyFont="1" applyFill="1" applyBorder="1" applyAlignment="1">
      <alignment horizontal="center" vertical="center" wrapText="1"/>
    </xf>
    <xf numFmtId="0" fontId="11" fillId="6" borderId="37" xfId="2" applyFont="1" applyFill="1" applyBorder="1" applyAlignment="1">
      <alignment horizontal="right" vertical="center" wrapText="1"/>
    </xf>
    <xf numFmtId="0" fontId="11" fillId="6" borderId="4" xfId="2" applyFont="1" applyFill="1" applyBorder="1" applyAlignment="1">
      <alignment horizontal="right" vertical="center" wrapText="1"/>
    </xf>
    <xf numFmtId="167" fontId="15" fillId="5" borderId="37" xfId="2" applyNumberFormat="1" applyFont="1" applyFill="1" applyBorder="1" applyAlignment="1">
      <alignment horizontal="center" vertical="center" wrapText="1"/>
    </xf>
    <xf numFmtId="167" fontId="15" fillId="5" borderId="4" xfId="2" applyNumberFormat="1" applyFont="1" applyFill="1" applyBorder="1" applyAlignment="1">
      <alignment horizontal="center" vertical="center" wrapText="1"/>
    </xf>
    <xf numFmtId="167" fontId="15" fillId="5" borderId="36" xfId="2" applyNumberFormat="1" applyFont="1" applyFill="1" applyBorder="1" applyAlignment="1">
      <alignment horizontal="center" vertical="center" wrapText="1"/>
    </xf>
    <xf numFmtId="167" fontId="20" fillId="5" borderId="40" xfId="2" applyNumberFormat="1" applyFont="1" applyFill="1" applyBorder="1" applyAlignment="1">
      <alignment horizontal="center" wrapText="1"/>
    </xf>
    <xf numFmtId="167" fontId="20" fillId="5" borderId="22" xfId="2" applyNumberFormat="1" applyFont="1" applyFill="1" applyBorder="1" applyAlignment="1">
      <alignment horizontal="center" wrapText="1"/>
    </xf>
    <xf numFmtId="167" fontId="20" fillId="5" borderId="39" xfId="2" applyNumberFormat="1" applyFont="1" applyFill="1" applyBorder="1" applyAlignment="1">
      <alignment horizontal="center" wrapText="1"/>
    </xf>
    <xf numFmtId="167" fontId="20" fillId="5" borderId="43" xfId="2" applyNumberFormat="1" applyFont="1" applyFill="1" applyBorder="1" applyAlignment="1">
      <alignment horizontal="center" wrapText="1"/>
    </xf>
    <xf numFmtId="167" fontId="20" fillId="5" borderId="0" xfId="2" applyNumberFormat="1" applyFont="1" applyFill="1" applyAlignment="1">
      <alignment horizontal="center" wrapText="1"/>
    </xf>
    <xf numFmtId="167" fontId="20" fillId="5" borderId="42" xfId="2" applyNumberFormat="1" applyFont="1" applyFill="1" applyBorder="1" applyAlignment="1">
      <alignment horizontal="center" wrapText="1"/>
    </xf>
    <xf numFmtId="167" fontId="20" fillId="5" borderId="47" xfId="2" applyNumberFormat="1" applyFont="1" applyFill="1" applyBorder="1" applyAlignment="1">
      <alignment horizontal="center" wrapText="1"/>
    </xf>
    <xf numFmtId="167" fontId="20" fillId="5" borderId="45" xfId="2" applyNumberFormat="1" applyFont="1" applyFill="1" applyBorder="1" applyAlignment="1">
      <alignment horizontal="center" wrapText="1"/>
    </xf>
    <xf numFmtId="167" fontId="20" fillId="5" borderId="46" xfId="2" applyNumberFormat="1" applyFont="1" applyFill="1" applyBorder="1" applyAlignment="1">
      <alignment horizontal="center" wrapText="1"/>
    </xf>
    <xf numFmtId="167" fontId="19" fillId="5" borderId="49" xfId="2" applyNumberFormat="1" applyFont="1" applyFill="1" applyBorder="1" applyAlignment="1">
      <alignment horizontal="center" vertical="center" wrapText="1"/>
    </xf>
    <xf numFmtId="167" fontId="19" fillId="5" borderId="50" xfId="2" applyNumberFormat="1" applyFont="1" applyFill="1" applyBorder="1" applyAlignment="1">
      <alignment horizontal="center" vertical="center" wrapText="1"/>
    </xf>
    <xf numFmtId="167" fontId="19" fillId="5" borderId="51" xfId="2" applyNumberFormat="1" applyFont="1" applyFill="1" applyBorder="1" applyAlignment="1">
      <alignment horizontal="center" vertical="center" wrapText="1"/>
    </xf>
    <xf numFmtId="14" fontId="18" fillId="0" borderId="19" xfId="6" applyNumberFormat="1" applyFont="1" applyFill="1" applyBorder="1" applyAlignment="1">
      <alignment horizontal="center" vertical="center" wrapText="1"/>
    </xf>
    <xf numFmtId="14" fontId="18" fillId="0" borderId="26" xfId="6" applyNumberFormat="1" applyFont="1" applyFill="1" applyBorder="1" applyAlignment="1">
      <alignment horizontal="center" vertical="center" wrapText="1"/>
    </xf>
    <xf numFmtId="14" fontId="18" fillId="0" borderId="29" xfId="6" applyNumberFormat="1" applyFont="1" applyFill="1" applyBorder="1" applyAlignment="1">
      <alignment horizontal="center" vertical="center" wrapText="1"/>
    </xf>
    <xf numFmtId="10" fontId="18" fillId="0" borderId="19" xfId="6" applyNumberFormat="1" applyFont="1" applyFill="1" applyBorder="1" applyAlignment="1">
      <alignment horizontal="center" vertical="center" wrapText="1"/>
    </xf>
    <xf numFmtId="10" fontId="18" fillId="0" borderId="26" xfId="6" applyNumberFormat="1" applyFont="1" applyFill="1" applyBorder="1" applyAlignment="1">
      <alignment horizontal="center" vertical="center" wrapText="1"/>
    </xf>
    <xf numFmtId="0" fontId="16" fillId="0" borderId="25" xfId="2" applyFont="1" applyBorder="1" applyAlignment="1">
      <alignment horizontal="left" vertical="center" wrapText="1"/>
    </xf>
    <xf numFmtId="0" fontId="16" fillId="0" borderId="20" xfId="2" applyFont="1" applyBorder="1" applyAlignment="1">
      <alignment horizontal="left" vertical="center" wrapText="1"/>
    </xf>
    <xf numFmtId="165" fontId="17" fillId="0" borderId="23" xfId="3" applyNumberFormat="1" applyFont="1" applyFill="1" applyBorder="1" applyAlignment="1">
      <alignment horizontal="center" vertical="center" wrapText="1"/>
    </xf>
    <xf numFmtId="165" fontId="17" fillId="0" borderId="8" xfId="3" applyNumberFormat="1" applyFont="1" applyFill="1" applyBorder="1" applyAlignment="1">
      <alignment horizontal="center" vertical="center" wrapText="1"/>
    </xf>
    <xf numFmtId="165" fontId="17" fillId="0" borderId="24" xfId="3" applyNumberFormat="1" applyFont="1" applyFill="1" applyBorder="1" applyAlignment="1">
      <alignment horizontal="center" vertical="center" wrapText="1"/>
    </xf>
    <xf numFmtId="0" fontId="16" fillId="0" borderId="68" xfId="2" applyFont="1" applyBorder="1" applyAlignment="1">
      <alignment horizontal="right" vertical="center" wrapText="1"/>
    </xf>
    <xf numFmtId="0" fontId="16" fillId="0" borderId="28" xfId="2" applyFont="1" applyBorder="1" applyAlignment="1">
      <alignment horizontal="right" vertical="center" wrapText="1"/>
    </xf>
    <xf numFmtId="39" fontId="4" fillId="0" borderId="81" xfId="1" applyFont="1" applyBorder="1" applyAlignment="1">
      <alignment horizontal="center" vertical="center" wrapText="1"/>
    </xf>
    <xf numFmtId="39" fontId="4" fillId="0" borderId="55" xfId="1" applyFont="1" applyBorder="1" applyAlignment="1">
      <alignment horizontal="center" vertical="center" wrapText="1"/>
    </xf>
    <xf numFmtId="39" fontId="4" fillId="0" borderId="44" xfId="1" applyFont="1" applyBorder="1" applyAlignment="1">
      <alignment horizontal="center" vertical="center" wrapText="1"/>
    </xf>
    <xf numFmtId="39" fontId="4" fillId="0" borderId="78" xfId="1" applyFont="1" applyBorder="1" applyAlignment="1">
      <alignment horizontal="center" vertical="center" wrapText="1"/>
    </xf>
    <xf numFmtId="49" fontId="7" fillId="0" borderId="56" xfId="2" applyNumberFormat="1" applyFont="1" applyBorder="1" applyAlignment="1">
      <alignment horizontal="center" vertical="center" wrapText="1"/>
    </xf>
    <xf numFmtId="49" fontId="7" fillId="0" borderId="57" xfId="2" applyNumberFormat="1" applyFont="1" applyBorder="1" applyAlignment="1">
      <alignment horizontal="center" vertical="center" wrapText="1"/>
    </xf>
    <xf numFmtId="49" fontId="25" fillId="0" borderId="3" xfId="2" applyNumberFormat="1" applyFont="1" applyBorder="1" applyAlignment="1">
      <alignment horizontal="center" vertical="center"/>
    </xf>
    <xf numFmtId="49" fontId="25" fillId="0" borderId="59" xfId="2" applyNumberFormat="1" applyFont="1" applyBorder="1" applyAlignment="1">
      <alignment horizontal="center" vertical="center"/>
    </xf>
    <xf numFmtId="39" fontId="6" fillId="0" borderId="37" xfId="1" applyFont="1" applyBorder="1" applyAlignment="1">
      <alignment horizontal="center" vertical="center" wrapText="1"/>
    </xf>
    <xf numFmtId="39" fontId="6" fillId="0" borderId="4" xfId="1" applyFont="1" applyBorder="1" applyAlignment="1">
      <alignment horizontal="center" vertical="center" wrapText="1"/>
    </xf>
    <xf numFmtId="39" fontId="6" fillId="0" borderId="3" xfId="1" applyFont="1" applyBorder="1" applyAlignment="1">
      <alignment horizontal="center" vertical="center" wrapText="1"/>
    </xf>
    <xf numFmtId="39" fontId="6" fillId="0" borderId="2" xfId="1" applyFont="1" applyBorder="1" applyAlignment="1">
      <alignment horizontal="center" vertical="center" wrapText="1"/>
    </xf>
    <xf numFmtId="49" fontId="6" fillId="0" borderId="2" xfId="1" applyNumberFormat="1" applyFont="1" applyBorder="1" applyAlignment="1">
      <alignment horizontal="center" vertical="center" wrapText="1"/>
    </xf>
    <xf numFmtId="49" fontId="6" fillId="0" borderId="3" xfId="1" applyNumberFormat="1" applyFont="1" applyBorder="1" applyAlignment="1">
      <alignment horizontal="center" vertical="center" wrapText="1"/>
    </xf>
    <xf numFmtId="49" fontId="6" fillId="3" borderId="2" xfId="1" applyNumberFormat="1" applyFont="1" applyFill="1" applyBorder="1" applyAlignment="1">
      <alignment horizontal="center" vertical="center" wrapText="1"/>
    </xf>
    <xf numFmtId="49" fontId="6" fillId="3" borderId="3" xfId="1" applyNumberFormat="1" applyFont="1" applyFill="1" applyBorder="1" applyAlignment="1">
      <alignment horizontal="center" vertical="center" wrapText="1"/>
    </xf>
    <xf numFmtId="39" fontId="6" fillId="0" borderId="36" xfId="1" applyFont="1" applyBorder="1" applyAlignment="1">
      <alignment horizontal="center" vertical="center" wrapText="1"/>
    </xf>
    <xf numFmtId="166" fontId="16" fillId="2" borderId="32" xfId="3" applyNumberFormat="1" applyFont="1" applyFill="1" applyBorder="1" applyAlignment="1">
      <alignment horizontal="center" vertical="center" wrapText="1"/>
    </xf>
    <xf numFmtId="166" fontId="16" fillId="2" borderId="33" xfId="3" applyNumberFormat="1" applyFont="1" applyFill="1" applyBorder="1" applyAlignment="1">
      <alignment horizontal="center" vertical="center" wrapText="1"/>
    </xf>
    <xf numFmtId="0" fontId="29" fillId="0" borderId="37" xfId="2" applyFont="1" applyBorder="1" applyAlignment="1">
      <alignment horizontal="right" vertical="center" wrapText="1"/>
    </xf>
    <xf numFmtId="0" fontId="29" fillId="0" borderId="4" xfId="2" applyFont="1" applyBorder="1" applyAlignment="1">
      <alignment horizontal="right" vertical="center" wrapText="1"/>
    </xf>
    <xf numFmtId="0" fontId="29" fillId="0" borderId="3" xfId="2" applyFont="1" applyBorder="1" applyAlignment="1">
      <alignment horizontal="right" vertical="center" wrapText="1"/>
    </xf>
    <xf numFmtId="39" fontId="2" fillId="0" borderId="53" xfId="1" applyFont="1" applyBorder="1" applyAlignment="1">
      <alignment horizontal="center" vertical="center" wrapText="1"/>
    </xf>
    <xf numFmtId="39" fontId="2" fillId="0" borderId="54" xfId="1" applyFont="1" applyBorder="1" applyAlignment="1">
      <alignment horizontal="center" vertical="center" wrapText="1"/>
    </xf>
    <xf numFmtId="39" fontId="2" fillId="0" borderId="58" xfId="1" applyFont="1" applyBorder="1" applyAlignment="1">
      <alignment horizontal="center" vertical="center" wrapText="1"/>
    </xf>
    <xf numFmtId="39" fontId="2" fillId="0" borderId="1" xfId="1" applyFont="1" applyBorder="1" applyAlignment="1">
      <alignment horizontal="center" vertical="center" wrapText="1"/>
    </xf>
    <xf numFmtId="0" fontId="15" fillId="0" borderId="1" xfId="2" applyFont="1" applyBorder="1" applyAlignment="1">
      <alignment horizontal="center" vertical="center" wrapText="1"/>
    </xf>
    <xf numFmtId="0" fontId="8" fillId="8" borderId="37" xfId="2" applyFont="1" applyFill="1" applyBorder="1" applyAlignment="1">
      <alignment horizontal="right" vertical="center"/>
    </xf>
    <xf numFmtId="0" fontId="8" fillId="8" borderId="21" xfId="2" applyFont="1" applyFill="1" applyBorder="1" applyAlignment="1">
      <alignment horizontal="right" vertical="center"/>
    </xf>
    <xf numFmtId="165" fontId="9" fillId="8" borderId="18" xfId="2" applyNumberFormat="1" applyFont="1" applyFill="1" applyBorder="1" applyAlignment="1">
      <alignment horizontal="left" vertical="center" wrapText="1"/>
    </xf>
    <xf numFmtId="165" fontId="9" fillId="8" borderId="4" xfId="2" applyNumberFormat="1" applyFont="1" applyFill="1" applyBorder="1" applyAlignment="1">
      <alignment horizontal="left" vertical="center" wrapText="1"/>
    </xf>
    <xf numFmtId="165" fontId="9" fillId="8" borderId="45" xfId="2" applyNumberFormat="1" applyFont="1" applyFill="1" applyBorder="1" applyAlignment="1">
      <alignment horizontal="left" vertical="center" wrapText="1"/>
    </xf>
    <xf numFmtId="165" fontId="9" fillId="8" borderId="36" xfId="2" applyNumberFormat="1" applyFont="1" applyFill="1" applyBorder="1" applyAlignment="1">
      <alignment horizontal="left" vertical="center" wrapText="1"/>
    </xf>
    <xf numFmtId="164" fontId="15" fillId="0" borderId="2" xfId="3" applyFont="1" applyFill="1" applyBorder="1" applyAlignment="1">
      <alignment horizontal="center" vertical="center" wrapText="1"/>
    </xf>
    <xf numFmtId="164" fontId="15" fillId="0" borderId="4" xfId="3" applyFont="1" applyFill="1" applyBorder="1" applyAlignment="1">
      <alignment horizontal="center" vertical="center" wrapText="1"/>
    </xf>
    <xf numFmtId="164" fontId="15" fillId="0" borderId="3" xfId="3" applyFont="1" applyFill="1" applyBorder="1" applyAlignment="1">
      <alignment horizontal="center" vertical="center" wrapText="1"/>
    </xf>
    <xf numFmtId="164" fontId="15" fillId="0" borderId="36" xfId="3" applyFont="1" applyFill="1" applyBorder="1" applyAlignment="1">
      <alignment horizontal="center" vertical="center" wrapText="1"/>
    </xf>
    <xf numFmtId="165" fontId="9" fillId="8" borderId="18" xfId="2" applyNumberFormat="1" applyFont="1" applyFill="1" applyBorder="1" applyAlignment="1">
      <alignment horizontal="center" vertical="center" wrapText="1"/>
    </xf>
    <xf numFmtId="165" fontId="9" fillId="8" borderId="4" xfId="2" applyNumberFormat="1" applyFont="1" applyFill="1" applyBorder="1" applyAlignment="1">
      <alignment horizontal="center" vertical="center" wrapText="1"/>
    </xf>
    <xf numFmtId="165" fontId="9" fillId="8" borderId="21" xfId="2" applyNumberFormat="1" applyFont="1" applyFill="1" applyBorder="1" applyAlignment="1">
      <alignment horizontal="center" vertical="center" wrapText="1"/>
    </xf>
    <xf numFmtId="0" fontId="16" fillId="0" borderId="62" xfId="2" applyFont="1" applyBorder="1" applyAlignment="1">
      <alignment horizontal="right" vertical="center" wrapText="1"/>
    </xf>
    <xf numFmtId="0" fontId="16" fillId="0" borderId="9" xfId="2" applyFont="1" applyBorder="1" applyAlignment="1">
      <alignment horizontal="right" vertical="center" wrapText="1"/>
    </xf>
    <xf numFmtId="1" fontId="9" fillId="7" borderId="37" xfId="1" applyNumberFormat="1" applyFont="1" applyFill="1" applyBorder="1" applyAlignment="1">
      <alignment horizontal="center" vertical="center" wrapText="1"/>
    </xf>
    <xf numFmtId="1" fontId="9" fillId="7" borderId="4" xfId="1" applyNumberFormat="1" applyFont="1" applyFill="1" applyBorder="1" applyAlignment="1">
      <alignment horizontal="center" vertical="center" wrapText="1"/>
    </xf>
    <xf numFmtId="39" fontId="9" fillId="7" borderId="4" xfId="1" applyFont="1" applyFill="1" applyBorder="1" applyAlignment="1">
      <alignment horizontal="center" vertical="center" wrapText="1"/>
    </xf>
    <xf numFmtId="39" fontId="9" fillId="7" borderId="36" xfId="1" applyFont="1" applyFill="1" applyBorder="1" applyAlignment="1">
      <alignment horizontal="center" vertical="center" wrapText="1"/>
    </xf>
  </cellXfs>
  <cellStyles count="15">
    <cellStyle name="Moeda 3" xfId="14" xr:uid="{782E9109-88AD-4CF8-8BA2-88689F20F6C1}"/>
    <cellStyle name="Normal" xfId="0" builtinId="0"/>
    <cellStyle name="Normal 10" xfId="2" xr:uid="{00000000-0005-0000-0000-000001000000}"/>
    <cellStyle name="Normal 2" xfId="9" xr:uid="{B2679AAC-E40F-4530-BBAC-19F6D7FF742A}"/>
    <cellStyle name="Normal 2 2" xfId="10" xr:uid="{7D2D5870-7555-4125-A5B7-2C5F047AB300}"/>
    <cellStyle name="Normal 3" xfId="11" xr:uid="{B3F5866B-F5E5-4A00-BDB8-78271F3AFF7C}"/>
    <cellStyle name="Normal 5" xfId="13" xr:uid="{DB1A0E43-A8E3-49EF-8BEE-06C2BF205EAA}"/>
    <cellStyle name="Normal 6 3" xfId="5" xr:uid="{00000000-0005-0000-0000-000002000000}"/>
    <cellStyle name="Normal 7" xfId="8" xr:uid="{3B6D3AE8-7DB4-4621-BFED-F97C1AD53AE0}"/>
    <cellStyle name="Normal_Plan1_planilha de medição_ECM" xfId="1" xr:uid="{00000000-0005-0000-0000-000003000000}"/>
    <cellStyle name="Porcentagem" xfId="6" builtinId="5"/>
    <cellStyle name="Porcentagem 2" xfId="12" xr:uid="{4D5FABCE-A0CD-4D1F-A681-3C5A1B9A00AF}"/>
    <cellStyle name="Separador de milhares 2" xfId="3" xr:uid="{00000000-0005-0000-0000-000005000000}"/>
    <cellStyle name="Separador de milhares 3" xfId="4" xr:uid="{00000000-0005-0000-0000-000006000000}"/>
    <cellStyle name="Separador de milhares 3 2" xfId="7" xr:uid="{00000000-0005-0000-0000-000007000000}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224517</xdr:colOff>
      <xdr:row>0</xdr:row>
      <xdr:rowOff>159883</xdr:rowOff>
    </xdr:from>
    <xdr:to>
      <xdr:col>2</xdr:col>
      <xdr:colOff>224518</xdr:colOff>
      <xdr:row>3</xdr:row>
      <xdr:rowOff>2040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DA58B6AC-BA42-367A-3BE0-55BC24DD8A79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803" y="159883"/>
          <a:ext cx="2326822" cy="726621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fitToPage="1"/>
  </sheetPr>
  <dimension ref="B1:S33"/>
  <sheetViews>
    <sheetView showGridLines="0" tabSelected="1" zoomScale="85" zoomScaleNormal="85" workbookViewId="0">
      <pane ySplit="6" topLeftCell="A8" activePane="bottomLeft" state="frozen"/>
      <selection pane="bottomLeft" activeCell="B13" sqref="B13:J13"/>
    </sheetView>
  </sheetViews>
  <sheetFormatPr defaultRowHeight="15" x14ac:dyDescent="0.25"/>
  <cols>
    <col min="1" max="1" width="2.42578125" customWidth="1"/>
    <col min="2" max="2" width="34.85546875" bestFit="1" customWidth="1"/>
    <col min="3" max="3" width="24.42578125" customWidth="1"/>
    <col min="4" max="4" width="60.28515625" customWidth="1"/>
    <col min="5" max="5" width="24.42578125" customWidth="1"/>
    <col min="6" max="6" width="23.5703125" customWidth="1"/>
    <col min="7" max="7" width="12.42578125" bestFit="1" customWidth="1"/>
    <col min="8" max="8" width="9.85546875" customWidth="1"/>
    <col min="9" max="10" width="14.7109375" customWidth="1"/>
    <col min="11" max="11" width="18" bestFit="1" customWidth="1"/>
    <col min="12" max="12" width="18.28515625" customWidth="1"/>
    <col min="13" max="13" width="20.85546875" customWidth="1"/>
    <col min="14" max="14" width="13.5703125" customWidth="1"/>
    <col min="15" max="15" width="20.5703125" customWidth="1"/>
    <col min="16" max="16" width="15.5703125" customWidth="1"/>
    <col min="17" max="17" width="20.7109375" customWidth="1"/>
    <col min="18" max="18" width="15.140625" customWidth="1"/>
    <col min="19" max="19" width="19" customWidth="1"/>
  </cols>
  <sheetData>
    <row r="1" spans="2:19" ht="15.75" thickBot="1" x14ac:dyDescent="0.3"/>
    <row r="2" spans="2:19" ht="32.450000000000003" customHeight="1" x14ac:dyDescent="0.25">
      <c r="B2" s="167" t="s">
        <v>68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145" t="s">
        <v>62</v>
      </c>
      <c r="O2" s="146"/>
      <c r="P2" s="30" t="s">
        <v>0</v>
      </c>
      <c r="Q2" s="53" t="s">
        <v>73</v>
      </c>
      <c r="R2" s="149" t="s">
        <v>72</v>
      </c>
      <c r="S2" s="150"/>
    </row>
    <row r="3" spans="2:19" ht="21.6" customHeight="1" x14ac:dyDescent="0.25">
      <c r="B3" s="169"/>
      <c r="C3" s="170"/>
      <c r="D3" s="170"/>
      <c r="E3" s="170"/>
      <c r="F3" s="170"/>
      <c r="G3" s="170"/>
      <c r="H3" s="170"/>
      <c r="I3" s="170"/>
      <c r="J3" s="170"/>
      <c r="K3" s="170"/>
      <c r="L3" s="170"/>
      <c r="M3" s="170"/>
      <c r="N3" s="147"/>
      <c r="O3" s="148"/>
      <c r="P3" s="51" t="s">
        <v>1</v>
      </c>
      <c r="Q3" s="52" t="s">
        <v>74</v>
      </c>
      <c r="R3" s="151" t="s">
        <v>71</v>
      </c>
      <c r="S3" s="152"/>
    </row>
    <row r="4" spans="2:19" ht="30" customHeight="1" x14ac:dyDescent="0.25">
      <c r="B4" s="187" t="s">
        <v>78</v>
      </c>
      <c r="C4" s="188"/>
      <c r="D4" s="188"/>
      <c r="E4" s="188"/>
      <c r="F4" s="188"/>
      <c r="G4" s="188"/>
      <c r="H4" s="188"/>
      <c r="I4" s="188"/>
      <c r="J4" s="188"/>
      <c r="K4" s="188"/>
      <c r="L4" s="188"/>
      <c r="M4" s="188"/>
      <c r="N4" s="188"/>
      <c r="O4" s="188"/>
      <c r="P4" s="188"/>
      <c r="Q4" s="188"/>
      <c r="R4" s="189"/>
      <c r="S4" s="190"/>
    </row>
    <row r="5" spans="2:19" ht="34.15" customHeight="1" x14ac:dyDescent="0.25">
      <c r="B5" s="153" t="s">
        <v>2</v>
      </c>
      <c r="C5" s="154"/>
      <c r="D5" s="154"/>
      <c r="E5" s="154"/>
      <c r="F5" s="154"/>
      <c r="G5" s="154"/>
      <c r="H5" s="155"/>
      <c r="I5" s="156" t="s">
        <v>3</v>
      </c>
      <c r="J5" s="154"/>
      <c r="K5" s="155"/>
      <c r="L5" s="157" t="s">
        <v>14</v>
      </c>
      <c r="M5" s="158"/>
      <c r="N5" s="159" t="s">
        <v>4</v>
      </c>
      <c r="O5" s="160"/>
      <c r="P5" s="156" t="s">
        <v>5</v>
      </c>
      <c r="Q5" s="155"/>
      <c r="R5" s="156" t="s">
        <v>6</v>
      </c>
      <c r="S5" s="161"/>
    </row>
    <row r="6" spans="2:19" ht="24" customHeight="1" x14ac:dyDescent="0.25">
      <c r="B6" s="31" t="s">
        <v>63</v>
      </c>
      <c r="C6" s="2" t="s">
        <v>12</v>
      </c>
      <c r="D6" s="2" t="s">
        <v>64</v>
      </c>
      <c r="E6" s="19" t="s">
        <v>77</v>
      </c>
      <c r="F6" s="19" t="s">
        <v>13</v>
      </c>
      <c r="G6" s="19" t="s">
        <v>79</v>
      </c>
      <c r="H6" s="3" t="s">
        <v>11</v>
      </c>
      <c r="I6" s="1" t="s">
        <v>7</v>
      </c>
      <c r="J6" s="2" t="s">
        <v>8</v>
      </c>
      <c r="K6" s="3" t="s">
        <v>9</v>
      </c>
      <c r="L6" s="1" t="s">
        <v>8</v>
      </c>
      <c r="M6" s="3" t="s">
        <v>10</v>
      </c>
      <c r="N6" s="4" t="s">
        <v>8</v>
      </c>
      <c r="O6" s="5" t="s">
        <v>10</v>
      </c>
      <c r="P6" s="1" t="s">
        <v>8</v>
      </c>
      <c r="Q6" s="3" t="s">
        <v>10</v>
      </c>
      <c r="R6" s="1" t="s">
        <v>8</v>
      </c>
      <c r="S6" s="32" t="s">
        <v>10</v>
      </c>
    </row>
    <row r="7" spans="2:19" ht="42.95" hidden="1" customHeight="1" x14ac:dyDescent="0.25">
      <c r="B7" s="35"/>
      <c r="C7" s="13"/>
      <c r="D7" s="13"/>
      <c r="E7" s="61"/>
      <c r="F7" s="61"/>
      <c r="G7" s="58"/>
      <c r="H7" s="14"/>
      <c r="I7" s="20"/>
      <c r="J7" s="21"/>
      <c r="K7" s="22"/>
      <c r="L7" s="69"/>
      <c r="M7" s="16"/>
      <c r="N7" s="17"/>
      <c r="O7" s="18"/>
      <c r="P7" s="15"/>
      <c r="Q7" s="16"/>
      <c r="R7" s="15"/>
      <c r="S7" s="36"/>
    </row>
    <row r="8" spans="2:19" ht="15.75" x14ac:dyDescent="0.25">
      <c r="B8" s="59" t="s">
        <v>69</v>
      </c>
      <c r="C8" s="33"/>
      <c r="D8" s="60"/>
      <c r="E8" s="6"/>
      <c r="F8" s="6"/>
      <c r="G8" s="6"/>
      <c r="H8" s="6"/>
      <c r="I8" s="7"/>
      <c r="J8" s="8"/>
      <c r="K8" s="9"/>
      <c r="L8" s="10"/>
      <c r="M8" s="11"/>
      <c r="N8" s="12"/>
      <c r="O8" s="11"/>
      <c r="P8" s="10"/>
      <c r="Q8" s="11"/>
      <c r="R8" s="10"/>
      <c r="S8" s="34"/>
    </row>
    <row r="9" spans="2:19" ht="42.95" customHeight="1" x14ac:dyDescent="0.25">
      <c r="B9" s="35" t="s">
        <v>66</v>
      </c>
      <c r="C9" s="13"/>
      <c r="D9" s="61"/>
      <c r="E9" s="61"/>
      <c r="F9" s="61"/>
      <c r="G9" s="58"/>
      <c r="H9" s="14" t="s">
        <v>67</v>
      </c>
      <c r="I9" s="20">
        <v>100</v>
      </c>
      <c r="J9" s="21">
        <v>1</v>
      </c>
      <c r="K9" s="22">
        <f>I9*J9</f>
        <v>100</v>
      </c>
      <c r="L9" s="69">
        <v>0</v>
      </c>
      <c r="M9" s="16">
        <f t="shared" ref="M9" si="0">+L9*I9</f>
        <v>0</v>
      </c>
      <c r="N9" s="17">
        <v>0</v>
      </c>
      <c r="O9" s="18">
        <f t="shared" ref="O9" si="1">N9*I9</f>
        <v>0</v>
      </c>
      <c r="P9" s="15">
        <f t="shared" ref="P9" si="2">L9+N9</f>
        <v>0</v>
      </c>
      <c r="Q9" s="16">
        <f t="shared" ref="Q9" si="3">O9+M9</f>
        <v>0</v>
      </c>
      <c r="R9" s="15">
        <f t="shared" ref="R9" si="4">J9-P9</f>
        <v>1</v>
      </c>
      <c r="S9" s="36">
        <f t="shared" ref="S9" si="5">K9-Q9</f>
        <v>100</v>
      </c>
    </row>
    <row r="10" spans="2:19" ht="42.95" customHeight="1" x14ac:dyDescent="0.25">
      <c r="B10" s="35"/>
      <c r="C10" s="13"/>
      <c r="D10" s="61"/>
      <c r="E10" s="61"/>
      <c r="F10" s="61"/>
      <c r="G10" s="58"/>
      <c r="H10" s="14" t="s">
        <v>67</v>
      </c>
      <c r="I10" s="20">
        <v>100</v>
      </c>
      <c r="J10" s="21">
        <v>1</v>
      </c>
      <c r="K10" s="22">
        <f>I10*J10</f>
        <v>100</v>
      </c>
      <c r="L10" s="69">
        <v>0</v>
      </c>
      <c r="M10" s="16">
        <f t="shared" ref="M10" si="6">+L10*I10</f>
        <v>0</v>
      </c>
      <c r="N10" s="17">
        <v>0</v>
      </c>
      <c r="O10" s="18">
        <f t="shared" ref="O10" si="7">N10*I10</f>
        <v>0</v>
      </c>
      <c r="P10" s="15">
        <f t="shared" ref="P10" si="8">L10+N10</f>
        <v>0</v>
      </c>
      <c r="Q10" s="16">
        <f t="shared" ref="Q10" si="9">O10+M10</f>
        <v>0</v>
      </c>
      <c r="R10" s="15">
        <f t="shared" ref="R10" si="10">J10-P10</f>
        <v>1</v>
      </c>
      <c r="S10" s="36">
        <f t="shared" ref="S10" si="11">K10-Q10</f>
        <v>100</v>
      </c>
    </row>
    <row r="11" spans="2:19" ht="42.95" customHeight="1" x14ac:dyDescent="0.25">
      <c r="B11" s="35"/>
      <c r="C11" s="13"/>
      <c r="D11" s="61"/>
      <c r="E11" s="61"/>
      <c r="F11" s="58"/>
      <c r="G11" s="58"/>
      <c r="H11" s="14"/>
      <c r="I11" s="20"/>
      <c r="J11" s="21"/>
      <c r="K11" s="22"/>
      <c r="L11" s="69"/>
      <c r="M11" s="16"/>
      <c r="N11" s="17"/>
      <c r="O11" s="18"/>
      <c r="P11" s="15"/>
      <c r="Q11" s="16"/>
      <c r="R11" s="15"/>
      <c r="S11" s="36"/>
    </row>
    <row r="12" spans="2:19" ht="30" customHeight="1" x14ac:dyDescent="0.25">
      <c r="B12" s="116" t="s">
        <v>16</v>
      </c>
      <c r="C12" s="117"/>
      <c r="D12" s="117"/>
      <c r="E12" s="117"/>
      <c r="F12" s="117"/>
      <c r="G12" s="117"/>
      <c r="H12" s="117"/>
      <c r="I12" s="117"/>
      <c r="J12" s="70">
        <f t="shared" ref="J12:S12" si="12">SUM(J9:J10)</f>
        <v>2</v>
      </c>
      <c r="K12" s="50">
        <f t="shared" si="12"/>
        <v>200</v>
      </c>
      <c r="L12" s="50">
        <f t="shared" si="12"/>
        <v>0</v>
      </c>
      <c r="M12" s="50">
        <f t="shared" si="12"/>
        <v>0</v>
      </c>
      <c r="N12" s="50">
        <f t="shared" si="12"/>
        <v>0</v>
      </c>
      <c r="O12" s="50">
        <f t="shared" si="12"/>
        <v>0</v>
      </c>
      <c r="P12" s="50">
        <f t="shared" si="12"/>
        <v>0</v>
      </c>
      <c r="Q12" s="50">
        <f t="shared" si="12"/>
        <v>0</v>
      </c>
      <c r="R12" s="70">
        <f t="shared" si="12"/>
        <v>2</v>
      </c>
      <c r="S12" s="50">
        <f t="shared" si="12"/>
        <v>200</v>
      </c>
    </row>
    <row r="13" spans="2:19" ht="30" customHeight="1" x14ac:dyDescent="0.25">
      <c r="B13" s="164" t="s">
        <v>70</v>
      </c>
      <c r="C13" s="165"/>
      <c r="D13" s="165"/>
      <c r="E13" s="165"/>
      <c r="F13" s="165"/>
      <c r="G13" s="165"/>
      <c r="H13" s="165"/>
      <c r="I13" s="165"/>
      <c r="J13" s="166"/>
      <c r="K13" s="44">
        <f>SUM(K12:K12)</f>
        <v>200</v>
      </c>
      <c r="L13" s="45"/>
      <c r="M13" s="44">
        <f>SUM(M12:M12)</f>
        <v>0</v>
      </c>
      <c r="N13" s="45"/>
      <c r="O13" s="46">
        <f>SUM(O12:O12)</f>
        <v>0</v>
      </c>
      <c r="P13" s="48"/>
      <c r="Q13" s="44">
        <f>SUM(Q12:Q12)</f>
        <v>0</v>
      </c>
      <c r="R13" s="49"/>
      <c r="S13" s="47">
        <f>SUM(S12:S12)</f>
        <v>200</v>
      </c>
    </row>
    <row r="14" spans="2:19" ht="34.9" customHeight="1" x14ac:dyDescent="0.25">
      <c r="B14" s="172" t="s">
        <v>15</v>
      </c>
      <c r="C14" s="173"/>
      <c r="D14" s="62"/>
      <c r="E14" s="182">
        <f>O13</f>
        <v>0</v>
      </c>
      <c r="F14" s="183"/>
      <c r="G14" s="184"/>
      <c r="H14" s="174"/>
      <c r="I14" s="175"/>
      <c r="J14" s="175"/>
      <c r="K14" s="175"/>
      <c r="L14" s="175"/>
      <c r="M14" s="175"/>
      <c r="N14" s="175"/>
      <c r="O14" s="175"/>
      <c r="P14" s="176"/>
      <c r="Q14" s="176"/>
      <c r="R14" s="176"/>
      <c r="S14" s="177"/>
    </row>
    <row r="15" spans="2:19" ht="25.9" customHeight="1" x14ac:dyDescent="0.4">
      <c r="B15" s="71" t="s">
        <v>17</v>
      </c>
      <c r="C15" s="72"/>
      <c r="D15" s="72"/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2"/>
      <c r="S15" s="73"/>
    </row>
    <row r="16" spans="2:19" ht="15.6" customHeight="1" x14ac:dyDescent="0.25">
      <c r="B16" s="178" t="s">
        <v>58</v>
      </c>
      <c r="C16" s="179"/>
      <c r="D16" s="179"/>
      <c r="E16" s="179"/>
      <c r="F16" s="179"/>
      <c r="G16" s="179"/>
      <c r="H16" s="179"/>
      <c r="I16" s="179"/>
      <c r="J16" s="179"/>
      <c r="K16" s="179"/>
      <c r="L16" s="179"/>
      <c r="M16" s="179"/>
      <c r="N16" s="179"/>
      <c r="O16" s="180"/>
      <c r="P16" s="178" t="s">
        <v>59</v>
      </c>
      <c r="Q16" s="179"/>
      <c r="R16" s="179"/>
      <c r="S16" s="180"/>
    </row>
    <row r="17" spans="2:19" ht="15.6" customHeight="1" x14ac:dyDescent="0.25">
      <c r="B17" s="55" t="s">
        <v>18</v>
      </c>
      <c r="C17" s="56"/>
      <c r="D17" s="56"/>
      <c r="E17" s="56"/>
      <c r="F17" s="57"/>
      <c r="G17" s="54"/>
      <c r="H17" s="171" t="s">
        <v>19</v>
      </c>
      <c r="I17" s="171"/>
      <c r="J17" s="171"/>
      <c r="K17" s="171"/>
      <c r="L17" s="171" t="s">
        <v>20</v>
      </c>
      <c r="M17" s="171"/>
      <c r="N17" s="171"/>
      <c r="O17" s="171"/>
      <c r="P17" s="178" t="s">
        <v>60</v>
      </c>
      <c r="Q17" s="180"/>
      <c r="R17" s="178" t="s">
        <v>65</v>
      </c>
      <c r="S17" s="181"/>
    </row>
    <row r="18" spans="2:19" x14ac:dyDescent="0.25">
      <c r="B18" s="185" t="s">
        <v>21</v>
      </c>
      <c r="C18" s="186"/>
      <c r="D18" s="63"/>
      <c r="E18" s="140">
        <f>K13</f>
        <v>200</v>
      </c>
      <c r="F18" s="141"/>
      <c r="G18" s="142"/>
      <c r="H18" s="138" t="s">
        <v>22</v>
      </c>
      <c r="I18" s="139"/>
      <c r="J18" s="136">
        <f>IFERROR(M13/K13,0)</f>
        <v>0</v>
      </c>
      <c r="K18" s="137"/>
      <c r="L18" s="138" t="s">
        <v>52</v>
      </c>
      <c r="M18" s="139"/>
      <c r="N18" s="133"/>
      <c r="O18" s="134"/>
      <c r="P18" s="90">
        <f>+P12/J12</f>
        <v>0</v>
      </c>
      <c r="Q18" s="91"/>
      <c r="R18" s="96" t="e">
        <f>+#REF!/#REF!</f>
        <v>#REF!</v>
      </c>
      <c r="S18" s="97"/>
    </row>
    <row r="19" spans="2:19" x14ac:dyDescent="0.25">
      <c r="B19" s="143" t="s">
        <v>23</v>
      </c>
      <c r="C19" s="144"/>
      <c r="D19" s="64"/>
      <c r="E19" s="106">
        <f>SUM(M13,O13)</f>
        <v>0</v>
      </c>
      <c r="F19" s="107"/>
      <c r="G19" s="108"/>
      <c r="H19" s="102" t="s">
        <v>24</v>
      </c>
      <c r="I19" s="103"/>
      <c r="J19" s="104">
        <f>IFERROR(O13/K13,0)</f>
        <v>0</v>
      </c>
      <c r="K19" s="105"/>
      <c r="L19" s="102" t="s">
        <v>53</v>
      </c>
      <c r="M19" s="103"/>
      <c r="N19" s="135"/>
      <c r="O19" s="105"/>
      <c r="P19" s="92"/>
      <c r="Q19" s="93"/>
      <c r="R19" s="98"/>
      <c r="S19" s="99"/>
    </row>
    <row r="20" spans="2:19" x14ac:dyDescent="0.25">
      <c r="B20" s="85" t="s">
        <v>25</v>
      </c>
      <c r="C20" s="86"/>
      <c r="D20" s="65"/>
      <c r="E20" s="87">
        <f>E18-E19</f>
        <v>200</v>
      </c>
      <c r="F20" s="88"/>
      <c r="G20" s="89"/>
      <c r="H20" s="102" t="s">
        <v>26</v>
      </c>
      <c r="I20" s="103"/>
      <c r="J20" s="104">
        <f>IFERROR(Q13/K13,0)</f>
        <v>0</v>
      </c>
      <c r="K20" s="105"/>
      <c r="L20" s="102" t="s">
        <v>54</v>
      </c>
      <c r="M20" s="103"/>
      <c r="N20" s="83"/>
      <c r="O20" s="84"/>
      <c r="P20" s="94"/>
      <c r="Q20" s="95"/>
      <c r="R20" s="100"/>
      <c r="S20" s="101"/>
    </row>
    <row r="21" spans="2:19" ht="25.9" customHeight="1" x14ac:dyDescent="0.4">
      <c r="B21" s="74" t="s">
        <v>27</v>
      </c>
      <c r="C21" s="75"/>
      <c r="D21" s="75"/>
      <c r="E21" s="75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  <c r="R21" s="75"/>
      <c r="S21" s="76"/>
    </row>
    <row r="22" spans="2:19" x14ac:dyDescent="0.25">
      <c r="B22" s="37" t="s">
        <v>28</v>
      </c>
      <c r="C22" s="24"/>
      <c r="D22" s="66"/>
      <c r="E22" s="23" t="s">
        <v>29</v>
      </c>
      <c r="F22" s="109"/>
      <c r="G22" s="110"/>
      <c r="H22" s="23" t="s">
        <v>30</v>
      </c>
      <c r="I22" s="24"/>
      <c r="J22" s="23" t="s">
        <v>31</v>
      </c>
      <c r="K22" s="24"/>
      <c r="L22" s="23" t="s">
        <v>32</v>
      </c>
      <c r="M22" s="24"/>
      <c r="N22" s="23" t="s">
        <v>33</v>
      </c>
      <c r="O22" s="24"/>
      <c r="P22" s="23" t="s">
        <v>34</v>
      </c>
      <c r="Q22" s="24"/>
      <c r="R22" s="23" t="s">
        <v>55</v>
      </c>
      <c r="S22" s="38"/>
    </row>
    <row r="23" spans="2:19" x14ac:dyDescent="0.25">
      <c r="B23" s="39" t="s">
        <v>35</v>
      </c>
      <c r="C23" s="26"/>
      <c r="D23" s="67"/>
      <c r="E23" s="25" t="s">
        <v>36</v>
      </c>
      <c r="F23" s="111"/>
      <c r="G23" s="112"/>
      <c r="H23" s="25" t="s">
        <v>37</v>
      </c>
      <c r="I23" s="26"/>
      <c r="J23" s="25" t="s">
        <v>38</v>
      </c>
      <c r="K23" s="26"/>
      <c r="L23" s="25" t="s">
        <v>39</v>
      </c>
      <c r="M23" s="26"/>
      <c r="N23" s="25" t="s">
        <v>40</v>
      </c>
      <c r="O23" s="26"/>
      <c r="P23" s="25" t="s">
        <v>41</v>
      </c>
      <c r="Q23" s="26"/>
      <c r="R23" s="25" t="s">
        <v>56</v>
      </c>
      <c r="S23" s="40"/>
    </row>
    <row r="24" spans="2:19" x14ac:dyDescent="0.25">
      <c r="B24" s="41" t="s">
        <v>42</v>
      </c>
      <c r="C24" s="28"/>
      <c r="D24" s="68"/>
      <c r="E24" s="27" t="s">
        <v>43</v>
      </c>
      <c r="F24" s="162"/>
      <c r="G24" s="163"/>
      <c r="H24" s="27" t="s">
        <v>44</v>
      </c>
      <c r="I24" s="28"/>
      <c r="J24" s="27" t="s">
        <v>45</v>
      </c>
      <c r="K24" s="28"/>
      <c r="L24" s="27" t="s">
        <v>46</v>
      </c>
      <c r="M24" s="28"/>
      <c r="N24" s="27" t="s">
        <v>47</v>
      </c>
      <c r="O24" s="28"/>
      <c r="P24" s="27" t="s">
        <v>48</v>
      </c>
      <c r="Q24" s="28"/>
      <c r="R24" s="29" t="s">
        <v>57</v>
      </c>
      <c r="S24" s="42"/>
    </row>
    <row r="25" spans="2:19" x14ac:dyDescent="0.25">
      <c r="B25" s="43"/>
      <c r="C25" s="77"/>
      <c r="D25" s="78"/>
      <c r="E25" s="78"/>
      <c r="F25" s="78"/>
      <c r="G25" s="78"/>
      <c r="H25" s="78"/>
      <c r="I25" s="78"/>
      <c r="J25" s="78"/>
      <c r="K25" s="78"/>
      <c r="L25" s="78"/>
      <c r="M25" s="78"/>
      <c r="N25" s="78"/>
      <c r="O25" s="78"/>
      <c r="P25" s="78"/>
      <c r="Q25" s="78"/>
      <c r="R25" s="78"/>
      <c r="S25" s="79"/>
    </row>
    <row r="26" spans="2:19" ht="25.9" customHeight="1" x14ac:dyDescent="0.4">
      <c r="B26" s="80" t="s">
        <v>49</v>
      </c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81"/>
      <c r="Q26" s="81"/>
      <c r="R26" s="81"/>
      <c r="S26" s="82"/>
    </row>
    <row r="27" spans="2:19" ht="15.6" customHeight="1" x14ac:dyDescent="0.25">
      <c r="B27" s="118" t="s">
        <v>61</v>
      </c>
      <c r="C27" s="119"/>
      <c r="D27" s="119"/>
      <c r="E27" s="119"/>
      <c r="F27" s="119"/>
      <c r="G27" s="119"/>
      <c r="H27" s="119"/>
      <c r="I27" s="119"/>
      <c r="J27" s="119"/>
      <c r="K27" s="120"/>
      <c r="L27" s="118" t="s">
        <v>75</v>
      </c>
      <c r="M27" s="119"/>
      <c r="N27" s="119"/>
      <c r="O27" s="119"/>
      <c r="P27" s="119"/>
      <c r="Q27" s="119"/>
      <c r="R27" s="119"/>
      <c r="S27" s="120"/>
    </row>
    <row r="28" spans="2:19" ht="14.45" customHeight="1" x14ac:dyDescent="0.25">
      <c r="B28" s="121" t="s">
        <v>50</v>
      </c>
      <c r="C28" s="122"/>
      <c r="D28" s="122"/>
      <c r="E28" s="122"/>
      <c r="F28" s="122"/>
      <c r="G28" s="122"/>
      <c r="H28" s="122"/>
      <c r="I28" s="122"/>
      <c r="J28" s="122"/>
      <c r="K28" s="123"/>
      <c r="L28" s="121" t="s">
        <v>76</v>
      </c>
      <c r="M28" s="122"/>
      <c r="N28" s="122"/>
      <c r="O28" s="122"/>
      <c r="P28" s="122"/>
      <c r="Q28" s="122"/>
      <c r="R28" s="122"/>
      <c r="S28" s="123"/>
    </row>
    <row r="29" spans="2:19" ht="14.45" customHeight="1" x14ac:dyDescent="0.25">
      <c r="B29" s="124"/>
      <c r="C29" s="125"/>
      <c r="D29" s="125"/>
      <c r="E29" s="125"/>
      <c r="F29" s="125"/>
      <c r="G29" s="125"/>
      <c r="H29" s="125"/>
      <c r="I29" s="125"/>
      <c r="J29" s="125"/>
      <c r="K29" s="126"/>
      <c r="L29" s="124"/>
      <c r="M29" s="125"/>
      <c r="N29" s="125"/>
      <c r="O29" s="125"/>
      <c r="P29" s="125"/>
      <c r="Q29" s="125"/>
      <c r="R29" s="125"/>
      <c r="S29" s="126"/>
    </row>
    <row r="30" spans="2:19" ht="14.45" customHeight="1" x14ac:dyDescent="0.25">
      <c r="B30" s="124"/>
      <c r="C30" s="125"/>
      <c r="D30" s="125"/>
      <c r="E30" s="125"/>
      <c r="F30" s="125"/>
      <c r="G30" s="125"/>
      <c r="H30" s="125"/>
      <c r="I30" s="125"/>
      <c r="J30" s="125"/>
      <c r="K30" s="126"/>
      <c r="L30" s="124"/>
      <c r="M30" s="125"/>
      <c r="N30" s="125"/>
      <c r="O30" s="125"/>
      <c r="P30" s="125"/>
      <c r="Q30" s="125"/>
      <c r="R30" s="125"/>
      <c r="S30" s="126"/>
    </row>
    <row r="31" spans="2:19" ht="14.45" customHeight="1" x14ac:dyDescent="0.25">
      <c r="B31" s="124"/>
      <c r="C31" s="125"/>
      <c r="D31" s="125"/>
      <c r="E31" s="125"/>
      <c r="F31" s="125"/>
      <c r="G31" s="125"/>
      <c r="H31" s="125"/>
      <c r="I31" s="125"/>
      <c r="J31" s="125"/>
      <c r="K31" s="126"/>
      <c r="L31" s="124"/>
      <c r="M31" s="125"/>
      <c r="N31" s="125"/>
      <c r="O31" s="125"/>
      <c r="P31" s="125"/>
      <c r="Q31" s="125"/>
      <c r="R31" s="125"/>
      <c r="S31" s="126"/>
    </row>
    <row r="32" spans="2:19" ht="14.45" customHeight="1" x14ac:dyDescent="0.25">
      <c r="B32" s="127"/>
      <c r="C32" s="128"/>
      <c r="D32" s="128"/>
      <c r="E32" s="128"/>
      <c r="F32" s="128"/>
      <c r="G32" s="128"/>
      <c r="H32" s="128"/>
      <c r="I32" s="128"/>
      <c r="J32" s="128"/>
      <c r="K32" s="129"/>
      <c r="L32" s="127"/>
      <c r="M32" s="128"/>
      <c r="N32" s="128"/>
      <c r="O32" s="128"/>
      <c r="P32" s="128"/>
      <c r="Q32" s="128"/>
      <c r="R32" s="128"/>
      <c r="S32" s="129"/>
    </row>
    <row r="33" spans="2:19" ht="15.75" thickBot="1" x14ac:dyDescent="0.3">
      <c r="B33" s="130" t="s">
        <v>51</v>
      </c>
      <c r="C33" s="131"/>
      <c r="D33" s="131"/>
      <c r="E33" s="131"/>
      <c r="F33" s="131"/>
      <c r="G33" s="131"/>
      <c r="H33" s="131"/>
      <c r="I33" s="131"/>
      <c r="J33" s="131"/>
      <c r="K33" s="132"/>
      <c r="L33" s="113" t="s">
        <v>51</v>
      </c>
      <c r="M33" s="114"/>
      <c r="N33" s="114"/>
      <c r="O33" s="114"/>
      <c r="P33" s="114"/>
      <c r="Q33" s="114"/>
      <c r="R33" s="114"/>
      <c r="S33" s="115"/>
    </row>
  </sheetData>
  <autoFilter ref="B6:S24" xr:uid="{00000000-0001-0000-0000-000000000000}"/>
  <mergeCells count="56">
    <mergeCell ref="B18:C18"/>
    <mergeCell ref="H18:I18"/>
    <mergeCell ref="B4:Q4"/>
    <mergeCell ref="R4:S4"/>
    <mergeCell ref="B13:J13"/>
    <mergeCell ref="B2:M3"/>
    <mergeCell ref="H17:K17"/>
    <mergeCell ref="L17:O17"/>
    <mergeCell ref="B14:C14"/>
    <mergeCell ref="H14:S14"/>
    <mergeCell ref="B16:O16"/>
    <mergeCell ref="P16:S16"/>
    <mergeCell ref="P17:Q17"/>
    <mergeCell ref="R17:S17"/>
    <mergeCell ref="E14:G14"/>
    <mergeCell ref="N2:O3"/>
    <mergeCell ref="R2:S2"/>
    <mergeCell ref="R3:S3"/>
    <mergeCell ref="B5:H5"/>
    <mergeCell ref="I5:K5"/>
    <mergeCell ref="L5:M5"/>
    <mergeCell ref="N5:O5"/>
    <mergeCell ref="P5:Q5"/>
    <mergeCell ref="R5:S5"/>
    <mergeCell ref="L33:S33"/>
    <mergeCell ref="B12:I12"/>
    <mergeCell ref="B27:K27"/>
    <mergeCell ref="B28:K32"/>
    <mergeCell ref="L28:S32"/>
    <mergeCell ref="L27:S27"/>
    <mergeCell ref="B33:K33"/>
    <mergeCell ref="H20:I20"/>
    <mergeCell ref="J20:K20"/>
    <mergeCell ref="L20:M20"/>
    <mergeCell ref="N18:O18"/>
    <mergeCell ref="N19:O19"/>
    <mergeCell ref="J18:K18"/>
    <mergeCell ref="L18:M18"/>
    <mergeCell ref="E18:G18"/>
    <mergeCell ref="B19:C19"/>
    <mergeCell ref="B15:S15"/>
    <mergeCell ref="B21:S21"/>
    <mergeCell ref="C25:S25"/>
    <mergeCell ref="B26:S26"/>
    <mergeCell ref="N20:O20"/>
    <mergeCell ref="B20:C20"/>
    <mergeCell ref="E20:G20"/>
    <mergeCell ref="P18:Q20"/>
    <mergeCell ref="R18:S20"/>
    <mergeCell ref="H19:I19"/>
    <mergeCell ref="J19:K19"/>
    <mergeCell ref="L19:M19"/>
    <mergeCell ref="E19:G19"/>
    <mergeCell ref="F22:G22"/>
    <mergeCell ref="F23:G23"/>
    <mergeCell ref="F24:G24"/>
  </mergeCells>
  <phoneticPr fontId="26" type="noConversion"/>
  <conditionalFormatting sqref="R13:S13">
    <cfRule type="cellIs" dxfId="4" priority="163" operator="lessThan">
      <formula>0</formula>
    </cfRule>
  </conditionalFormatting>
  <conditionalFormatting sqref="R7:S7">
    <cfRule type="cellIs" dxfId="3" priority="8" operator="lessThan">
      <formula>0</formula>
    </cfRule>
  </conditionalFormatting>
  <conditionalFormatting sqref="R10:S10">
    <cfRule type="cellIs" dxfId="2" priority="6" operator="lessThan">
      <formula>0</formula>
    </cfRule>
  </conditionalFormatting>
  <conditionalFormatting sqref="R11:S11">
    <cfRule type="cellIs" dxfId="1" priority="3" operator="lessThan">
      <formula>0</formula>
    </cfRule>
  </conditionalFormatting>
  <conditionalFormatting sqref="R9:S9">
    <cfRule type="cellIs" dxfId="0" priority="2" operator="lessThan">
      <formula>0</formula>
    </cfRule>
  </conditionalFormatting>
  <pageMargins left="0.511811024" right="0.511811024" top="0.78740157499999996" bottom="0.78740157499999996" header="0.31496062000000002" footer="0.31496062000000002"/>
  <pageSetup scale="32" orientation="landscape" horizontalDpi="300" r:id="rId1"/>
  <headerFooter>
    <oddFooter>&amp;L&amp;1#&amp;"Calibri"&amp;10 Classificação da informação: Restrita Grupo de Acesso: Destinatários deste e-mail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2EB36F5F712794DACE9F5D34F2CBB2B" ma:contentTypeVersion="15" ma:contentTypeDescription="Crie um novo documento." ma:contentTypeScope="" ma:versionID="cca3049264ae052bd96d7821bf132816">
  <xsd:schema xmlns:xsd="http://www.w3.org/2001/XMLSchema" xmlns:xs="http://www.w3.org/2001/XMLSchema" xmlns:p="http://schemas.microsoft.com/office/2006/metadata/properties" xmlns:ns2="674f7899-a84a-41c9-9e5e-0b66eb79be0e" xmlns:ns3="ff0b3ec2-bbd4-489d-82e9-50b1bee8ca47" targetNamespace="http://schemas.microsoft.com/office/2006/metadata/properties" ma:root="true" ma:fieldsID="80cf0ff28d6e7ed41cc392ffa587bb37" ns2:_="" ns3:_="">
    <xsd:import namespace="674f7899-a84a-41c9-9e5e-0b66eb79be0e"/>
    <xsd:import namespace="ff0b3ec2-bbd4-489d-82e9-50b1bee8ca47"/>
    <xsd:element name="properties">
      <xsd:complexType>
        <xsd:sequence>
          <xsd:element name="documentManagement">
            <xsd:complexType>
              <xsd:all>
                <xsd:element ref="ns2:Respons_x00e1_veldoProjeto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4f7899-a84a-41c9-9e5e-0b66eb79be0e" elementFormDefault="qualified">
    <xsd:import namespace="http://schemas.microsoft.com/office/2006/documentManagement/types"/>
    <xsd:import namespace="http://schemas.microsoft.com/office/infopath/2007/PartnerControls"/>
    <xsd:element name="Respons_x00e1_veldoProjeto" ma:index="8" nillable="true" ma:displayName="Responsável" ma:format="Dropdown" ma:list="UserInfo" ma:SharePointGroup="0" ma:internalName="Respons_x00e1_veldoProjeto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Marcações de imagem" ma:readOnly="false" ma:fieldId="{5cf76f15-5ced-4ddc-b409-7134ff3c332f}" ma:taxonomyMulti="true" ma:sspId="4151dbb6-6e9e-44eb-a82a-f76e7723f71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0b3ec2-bbd4-489d-82e9-50b1bee8ca47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ce9e0beb-d1eb-40b1-a583-3557c9520f86}" ma:internalName="TaxCatchAll" ma:showField="CatchAllData" ma:web="ff0b3ec2-bbd4-489d-82e9-50b1bee8ca4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f0b3ec2-bbd4-489d-82e9-50b1bee8ca47" xsi:nil="true"/>
    <lcf76f155ced4ddcb4097134ff3c332f xmlns="674f7899-a84a-41c9-9e5e-0b66eb79be0e">
      <Terms xmlns="http://schemas.microsoft.com/office/infopath/2007/PartnerControls"/>
    </lcf76f155ced4ddcb4097134ff3c332f>
    <Respons_x00e1_veldoProjeto xmlns="674f7899-a84a-41c9-9e5e-0b66eb79be0e">
      <UserInfo>
        <DisplayName/>
        <AccountId xsi:nil="true"/>
        <AccountType/>
      </UserInfo>
    </Respons_x00e1_veldoProjeto>
  </documentManagement>
</p:properties>
</file>

<file path=customXml/itemProps1.xml><?xml version="1.0" encoding="utf-8"?>
<ds:datastoreItem xmlns:ds="http://schemas.openxmlformats.org/officeDocument/2006/customXml" ds:itemID="{9F11C898-6241-45EB-9F61-A9C95DF48A1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455AE9A-8865-4EC8-B479-643B4014A65F}"/>
</file>

<file path=customXml/itemProps3.xml><?xml version="1.0" encoding="utf-8"?>
<ds:datastoreItem xmlns:ds="http://schemas.openxmlformats.org/officeDocument/2006/customXml" ds:itemID="{34A6CCEF-60EE-42DA-9475-65A452A6EEAB}">
  <ds:schemaRefs>
    <ds:schemaRef ds:uri="http://purl.org/dc/elements/1.1/"/>
    <ds:schemaRef ds:uri="http://schemas.microsoft.com/office/infopath/2007/PartnerControls"/>
    <ds:schemaRef ds:uri="http://www.w3.org/XML/1998/namespace"/>
    <ds:schemaRef ds:uri="http://schemas.microsoft.com/office/2006/metadata/properties"/>
    <ds:schemaRef ds:uri="http://schemas.microsoft.com/office/2006/documentManagement/types"/>
    <ds:schemaRef ds:uri="http://schemas.openxmlformats.org/package/2006/metadata/core-properties"/>
    <ds:schemaRef ds:uri="http://purl.org/dc/terms/"/>
    <ds:schemaRef ds:uri="59048a1f-f493-4138-9a52-3335701e427c"/>
    <ds:schemaRef ds:uri="193b2613-5fcf-4125-9a92-29606cdcafe0"/>
    <ds:schemaRef ds:uri="http://purl.org/dc/dcmitype/"/>
    <ds:schemaRef ds:uri="ff0b3ec2-bbd4-489d-82e9-50b1bee8ca47"/>
    <ds:schemaRef ds:uri="674f7899-a84a-41c9-9e5e-0b66eb79be0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PADRÃO BM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Honório Dias Barbosa Filho</dc:creator>
  <cp:lastModifiedBy>Honorio Dias Barbosa Filho (Cmpc Brasil)</cp:lastModifiedBy>
  <cp:lastPrinted>2024-03-18T20:45:24Z</cp:lastPrinted>
  <dcterms:created xsi:type="dcterms:W3CDTF">2020-01-25T19:26:04Z</dcterms:created>
  <dcterms:modified xsi:type="dcterms:W3CDTF">2026-02-27T14:58:45Z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0x01010062EB36F5F712794DACE9F5D34F2CBB2B</vt:lpwstr>
  </property>
  <property fmtid="{D5CDD505-2E9C-101B-9397-08002B2CF9AE}" pid="3" name="MSIP_Label_1ba7692f-f4ca-4045-8ab0-f5cdf35220ab_Enabled">
    <vt:lpwstr>True</vt:lpwstr>
  </property>
  <property fmtid="{D5CDD505-2E9C-101B-9397-08002B2CF9AE}" pid="4" name="MSIP_Label_1ba7692f-f4ca-4045-8ab0-f5cdf35220ab_SiteId">
    <vt:lpwstr>f42fc9cf-67de-42f2-a997-d920d85e69a6</vt:lpwstr>
  </property>
  <property fmtid="{D5CDD505-2E9C-101B-9397-08002B2CF9AE}" pid="5" name="MSIP_Label_1ba7692f-f4ca-4045-8ab0-f5cdf35220ab_Owner">
    <vt:lpwstr>UI73191@usiminas.com</vt:lpwstr>
  </property>
  <property fmtid="{D5CDD505-2E9C-101B-9397-08002B2CF9AE}" pid="6" name="MSIP_Label_1ba7692f-f4ca-4045-8ab0-f5cdf35220ab_SetDate">
    <vt:lpwstr>2021-07-29T14:19:25.1429444Z</vt:lpwstr>
  </property>
  <property fmtid="{D5CDD505-2E9C-101B-9397-08002B2CF9AE}" pid="7" name="MSIP_Label_1ba7692f-f4ca-4045-8ab0-f5cdf35220ab_Name">
    <vt:lpwstr>Restrita</vt:lpwstr>
  </property>
  <property fmtid="{D5CDD505-2E9C-101B-9397-08002B2CF9AE}" pid="8" name="MSIP_Label_1ba7692f-f4ca-4045-8ab0-f5cdf35220ab_Application">
    <vt:lpwstr>Microsoft Azure Information Protection</vt:lpwstr>
  </property>
  <property fmtid="{D5CDD505-2E9C-101B-9397-08002B2CF9AE}" pid="9" name="MSIP_Label_1ba7692f-f4ca-4045-8ab0-f5cdf35220ab_Extended_MSFT_Method">
    <vt:lpwstr>Automatic</vt:lpwstr>
  </property>
  <property fmtid="{D5CDD505-2E9C-101B-9397-08002B2CF9AE}" pid="10" name="Sensitivity">
    <vt:lpwstr>Restrita</vt:lpwstr>
  </property>
  <property fmtid="{D5CDD505-2E9C-101B-9397-08002B2CF9AE}" pid="11" name="Order">
    <vt:r8>2759800</vt:r8>
  </property>
  <property fmtid="{D5CDD505-2E9C-101B-9397-08002B2CF9AE}" pid="12" name="MediaServiceImageTags">
    <vt:lpwstr/>
  </property>
</Properties>
</file>